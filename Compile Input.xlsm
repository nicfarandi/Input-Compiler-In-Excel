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SUS\Desktop\Portfolio\Rekapan\"/>
    </mc:Choice>
  </mc:AlternateContent>
  <xr:revisionPtr revIDLastSave="0" documentId="13_ncr:1_{7600CB5A-F46B-4B64-9737-28227E9AC740}" xr6:coauthVersionLast="47" xr6:coauthVersionMax="47" xr10:uidLastSave="{00000000-0000-0000-0000-000000000000}"/>
  <bookViews>
    <workbookView xWindow="-96" yWindow="-96" windowWidth="23232" windowHeight="13872" tabRatio="632" activeTab="3" xr2:uid="{00000000-000D-0000-FFFF-FFFF00000000}"/>
  </bookViews>
  <sheets>
    <sheet name="ReadMe" sheetId="9" r:id="rId1"/>
    <sheet name="Product Database" sheetId="1" r:id="rId2"/>
    <sheet name="Input" sheetId="4" r:id="rId3"/>
    <sheet name="Summary" sheetId="5" r:id="rId4"/>
  </sheets>
  <definedNames>
    <definedName name="ExternalData_1" localSheetId="1" hidden="1">'Product Database'!$A$1:$B$101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6" i="5" l="1" a="1"/>
  <c r="A6" i="5" s="1"/>
  <c r="B10" i="5"/>
  <c r="B11" i="5"/>
  <c r="B12" i="5"/>
  <c r="B13" i="5"/>
  <c r="B14" i="5"/>
  <c r="B15" i="5"/>
  <c r="B16" i="5"/>
  <c r="B17" i="5"/>
  <c r="B18" i="5"/>
  <c r="B19" i="5"/>
  <c r="B20" i="5"/>
  <c r="B21" i="5"/>
  <c r="B22" i="5"/>
  <c r="B23" i="5"/>
  <c r="B24" i="5"/>
  <c r="B25" i="5"/>
  <c r="B26" i="5"/>
  <c r="B27" i="5"/>
  <c r="B28" i="5"/>
  <c r="B29" i="5"/>
  <c r="B30" i="5"/>
  <c r="B31" i="5"/>
  <c r="B32" i="5"/>
  <c r="B33" i="5"/>
  <c r="B34" i="5"/>
  <c r="B35" i="5"/>
  <c r="B36" i="5"/>
  <c r="B37" i="5"/>
  <c r="B38" i="5"/>
  <c r="B39" i="5"/>
  <c r="B40" i="5"/>
  <c r="B41" i="5"/>
  <c r="B42" i="5"/>
  <c r="B43" i="5"/>
  <c r="B44" i="5"/>
  <c r="B45" i="5"/>
  <c r="B46" i="5"/>
  <c r="B47" i="5"/>
  <c r="B48" i="5"/>
  <c r="B49" i="5"/>
  <c r="B50" i="5"/>
  <c r="B51" i="5"/>
  <c r="B52" i="5"/>
  <c r="B53" i="5"/>
  <c r="B54" i="5"/>
  <c r="B55" i="5"/>
  <c r="B56" i="5"/>
  <c r="B57" i="5"/>
  <c r="B58" i="5"/>
  <c r="B59" i="5"/>
  <c r="B60" i="5"/>
  <c r="B61" i="5"/>
  <c r="B62" i="5"/>
  <c r="B63" i="5"/>
  <c r="B64" i="5"/>
  <c r="B65" i="5"/>
  <c r="B66" i="5"/>
  <c r="B67" i="5"/>
  <c r="B68" i="5"/>
  <c r="B69" i="5"/>
  <c r="B70" i="5"/>
  <c r="B71" i="5"/>
  <c r="B72" i="5"/>
  <c r="B73" i="5"/>
  <c r="B74" i="5"/>
  <c r="B75" i="5"/>
  <c r="B76" i="5"/>
  <c r="B77" i="5"/>
  <c r="B78" i="5"/>
  <c r="B79" i="5"/>
  <c r="B80" i="5"/>
  <c r="B81" i="5"/>
  <c r="B82" i="5"/>
  <c r="B83" i="5"/>
  <c r="B84" i="5"/>
  <c r="B85" i="5"/>
  <c r="B86" i="5"/>
  <c r="B87" i="5"/>
  <c r="B88" i="5"/>
  <c r="B89" i="5"/>
  <c r="B90" i="5"/>
  <c r="B91" i="5"/>
  <c r="B92" i="5"/>
  <c r="B93" i="5"/>
  <c r="B94" i="5"/>
  <c r="B95" i="5"/>
  <c r="B96" i="5"/>
  <c r="B97" i="5"/>
  <c r="B98" i="5"/>
  <c r="B99" i="5"/>
  <c r="B100" i="5"/>
  <c r="B101" i="5"/>
  <c r="B102" i="5"/>
  <c r="B103" i="5"/>
  <c r="B104" i="5"/>
  <c r="B105" i="5"/>
  <c r="B106" i="5"/>
  <c r="B107" i="5"/>
  <c r="B108" i="5"/>
  <c r="B109" i="5"/>
  <c r="B110" i="5"/>
  <c r="B111" i="5"/>
  <c r="B112" i="5"/>
  <c r="B113" i="5"/>
  <c r="B114" i="5"/>
  <c r="B115" i="5"/>
  <c r="B116" i="5"/>
  <c r="B117" i="5"/>
  <c r="B118" i="5"/>
  <c r="B119" i="5"/>
  <c r="B120" i="5"/>
  <c r="B121" i="5"/>
  <c r="B122" i="5"/>
  <c r="B123" i="5"/>
  <c r="B124" i="5"/>
  <c r="B125" i="5"/>
  <c r="B126" i="5"/>
  <c r="B127" i="5"/>
  <c r="B128" i="5"/>
  <c r="B129" i="5"/>
  <c r="B130" i="5"/>
  <c r="B131" i="5"/>
  <c r="B132" i="5"/>
  <c r="B133" i="5"/>
  <c r="B134" i="5"/>
  <c r="B135" i="5"/>
  <c r="B136" i="5"/>
  <c r="B137" i="5"/>
  <c r="B138" i="5"/>
  <c r="B139" i="5"/>
  <c r="B140" i="5"/>
  <c r="B141" i="5"/>
  <c r="B142" i="5"/>
  <c r="B143" i="5"/>
  <c r="B144" i="5"/>
  <c r="B145" i="5"/>
  <c r="B146" i="5"/>
  <c r="B147" i="5"/>
  <c r="B148" i="5"/>
  <c r="B149" i="5"/>
  <c r="B150" i="5"/>
  <c r="B151" i="5"/>
  <c r="B152" i="5"/>
  <c r="B153" i="5"/>
  <c r="B154" i="5"/>
  <c r="B155" i="5"/>
  <c r="B156" i="5"/>
  <c r="B157" i="5"/>
  <c r="B158" i="5"/>
  <c r="B159" i="5"/>
  <c r="B160" i="5"/>
  <c r="B161" i="5"/>
  <c r="B162" i="5"/>
  <c r="B163" i="5"/>
  <c r="B164" i="5"/>
  <c r="B165" i="5"/>
  <c r="B166" i="5"/>
  <c r="B167" i="5"/>
  <c r="B168" i="5"/>
  <c r="B169" i="5"/>
  <c r="B170" i="5"/>
  <c r="B171" i="5"/>
  <c r="B172" i="5"/>
  <c r="B173" i="5"/>
  <c r="B174" i="5"/>
  <c r="B175" i="5"/>
  <c r="B176" i="5"/>
  <c r="B177" i="5"/>
  <c r="B178" i="5"/>
  <c r="B179" i="5"/>
  <c r="B180" i="5"/>
  <c r="B181" i="5"/>
  <c r="B182" i="5"/>
  <c r="B183" i="5"/>
  <c r="B184" i="5"/>
  <c r="B185" i="5"/>
  <c r="B186" i="5"/>
  <c r="B187" i="5"/>
  <c r="B188" i="5"/>
  <c r="B189" i="5"/>
  <c r="B190" i="5"/>
  <c r="B191" i="5"/>
  <c r="B192" i="5"/>
  <c r="B193" i="5"/>
  <c r="B194" i="5"/>
  <c r="B195" i="5"/>
  <c r="B196" i="5"/>
  <c r="B197" i="5"/>
  <c r="B198" i="5"/>
  <c r="B199" i="5"/>
  <c r="B200" i="5"/>
  <c r="B201" i="5"/>
  <c r="B202" i="5"/>
  <c r="B203" i="5"/>
  <c r="B204" i="5"/>
  <c r="B205" i="5"/>
  <c r="B206" i="5"/>
  <c r="B207" i="5"/>
  <c r="B208" i="5"/>
  <c r="B209" i="5"/>
  <c r="B210" i="5"/>
  <c r="B211" i="5"/>
  <c r="B212" i="5"/>
  <c r="B213" i="5"/>
  <c r="B214" i="5"/>
  <c r="B215" i="5"/>
  <c r="B216" i="5"/>
  <c r="B217" i="5"/>
  <c r="B218" i="5"/>
  <c r="B219" i="5"/>
  <c r="B220" i="5"/>
  <c r="B221" i="5"/>
  <c r="B222" i="5"/>
  <c r="B223" i="5"/>
  <c r="B224" i="5"/>
  <c r="B225" i="5"/>
  <c r="B226" i="5"/>
  <c r="B227" i="5"/>
  <c r="B228" i="5"/>
  <c r="B229" i="5"/>
  <c r="B230" i="5"/>
  <c r="B231" i="5"/>
  <c r="B232" i="5"/>
  <c r="B233" i="5"/>
  <c r="B234" i="5"/>
  <c r="B235" i="5"/>
  <c r="B236" i="5"/>
  <c r="B237" i="5"/>
  <c r="B238" i="5"/>
  <c r="B239" i="5"/>
  <c r="B240" i="5"/>
  <c r="B241" i="5"/>
  <c r="B242" i="5"/>
  <c r="B243" i="5"/>
  <c r="B244" i="5"/>
  <c r="B245" i="5"/>
  <c r="B246" i="5"/>
  <c r="B247" i="5"/>
  <c r="B248" i="5"/>
  <c r="B249" i="5"/>
  <c r="B250" i="5"/>
  <c r="B251" i="5"/>
  <c r="B252" i="5"/>
  <c r="B253" i="5"/>
  <c r="B254" i="5"/>
  <c r="B255" i="5"/>
  <c r="B256" i="5"/>
  <c r="B257" i="5"/>
  <c r="B258" i="5"/>
  <c r="B259" i="5"/>
  <c r="B260" i="5"/>
  <c r="B261" i="5"/>
  <c r="B262" i="5"/>
  <c r="B263" i="5"/>
  <c r="B264" i="5"/>
  <c r="B265" i="5"/>
  <c r="B266" i="5"/>
  <c r="B267" i="5"/>
  <c r="B268" i="5"/>
  <c r="B269" i="5"/>
  <c r="B270" i="5"/>
  <c r="B271" i="5"/>
  <c r="B272" i="5"/>
  <c r="B273" i="5"/>
  <c r="B274" i="5"/>
  <c r="B275" i="5"/>
  <c r="B276" i="5"/>
  <c r="B277" i="5"/>
  <c r="B278" i="5"/>
  <c r="B279" i="5"/>
  <c r="B280" i="5"/>
  <c r="B281" i="5"/>
  <c r="B282" i="5"/>
  <c r="B283" i="5"/>
  <c r="B284" i="5"/>
  <c r="B285" i="5"/>
  <c r="B286" i="5"/>
  <c r="B287" i="5"/>
  <c r="B288" i="5"/>
  <c r="B289" i="5"/>
  <c r="B290" i="5"/>
  <c r="B291" i="5"/>
  <c r="B292" i="5"/>
  <c r="B293" i="5"/>
  <c r="B294" i="5"/>
  <c r="B295" i="5"/>
  <c r="B296" i="5"/>
  <c r="B297" i="5"/>
  <c r="B298" i="5"/>
  <c r="B299" i="5"/>
  <c r="B300" i="5"/>
  <c r="B301" i="5"/>
  <c r="B302" i="5"/>
  <c r="B303" i="5"/>
  <c r="B304" i="5"/>
  <c r="B305" i="5"/>
  <c r="B306" i="5"/>
  <c r="B307" i="5"/>
  <c r="B308" i="5"/>
  <c r="B309" i="5"/>
  <c r="B310" i="5"/>
  <c r="B311" i="5"/>
  <c r="B312" i="5"/>
  <c r="B313" i="5"/>
  <c r="B314" i="5"/>
  <c r="B315" i="5"/>
  <c r="B316" i="5"/>
  <c r="B317" i="5"/>
  <c r="B318" i="5"/>
  <c r="B319" i="5"/>
  <c r="B320" i="5"/>
  <c r="B321" i="5"/>
  <c r="B322" i="5"/>
  <c r="B323" i="5"/>
  <c r="B324" i="5"/>
  <c r="B325" i="5"/>
  <c r="B326" i="5"/>
  <c r="B327" i="5"/>
  <c r="B328" i="5"/>
  <c r="B329" i="5"/>
  <c r="B330" i="5"/>
  <c r="B331" i="5"/>
  <c r="B332" i="5"/>
  <c r="B333" i="5"/>
  <c r="B334" i="5"/>
  <c r="B335" i="5"/>
  <c r="B336" i="5"/>
  <c r="B337" i="5"/>
  <c r="B338" i="5"/>
  <c r="B339" i="5"/>
  <c r="B340" i="5"/>
  <c r="B341" i="5"/>
  <c r="B342" i="5"/>
  <c r="B343" i="5"/>
  <c r="B344" i="5"/>
  <c r="B345" i="5"/>
  <c r="B346" i="5"/>
  <c r="B347" i="5"/>
  <c r="B348" i="5"/>
  <c r="B349" i="5"/>
  <c r="B350" i="5"/>
  <c r="B351" i="5"/>
  <c r="B352" i="5"/>
  <c r="B353" i="5"/>
  <c r="B354" i="5"/>
  <c r="B355" i="5"/>
  <c r="B356" i="5"/>
  <c r="B357" i="5"/>
  <c r="B358" i="5"/>
  <c r="B359" i="5"/>
  <c r="B360" i="5"/>
  <c r="B361" i="5"/>
  <c r="B362" i="5"/>
  <c r="B363" i="5"/>
  <c r="B364" i="5"/>
  <c r="B365" i="5"/>
  <c r="B366" i="5"/>
  <c r="B367" i="5"/>
  <c r="B368" i="5"/>
  <c r="B369" i="5"/>
  <c r="B370" i="5"/>
  <c r="B371" i="5"/>
  <c r="B372" i="5"/>
  <c r="B373" i="5"/>
  <c r="B374" i="5"/>
  <c r="B375" i="5"/>
  <c r="B376" i="5"/>
  <c r="B377" i="5"/>
  <c r="B378" i="5"/>
  <c r="B379" i="5"/>
  <c r="B380" i="5"/>
  <c r="B381" i="5"/>
  <c r="B382" i="5"/>
  <c r="B383" i="5"/>
  <c r="B384" i="5"/>
  <c r="B385" i="5"/>
  <c r="B386" i="5"/>
  <c r="B387" i="5"/>
  <c r="B388" i="5"/>
  <c r="B389" i="5"/>
  <c r="B390" i="5"/>
  <c r="B391" i="5"/>
  <c r="B392" i="5"/>
  <c r="B393" i="5"/>
  <c r="B394" i="5"/>
  <c r="B395" i="5"/>
  <c r="B396" i="5"/>
  <c r="B397" i="5"/>
  <c r="B398" i="5"/>
  <c r="B399" i="5"/>
  <c r="B400" i="5"/>
  <c r="B401" i="5"/>
  <c r="B402" i="5"/>
  <c r="B403" i="5"/>
  <c r="B404" i="5"/>
  <c r="B405" i="5"/>
  <c r="B406" i="5"/>
  <c r="B407" i="5"/>
  <c r="B408" i="5"/>
  <c r="B409" i="5"/>
  <c r="B410" i="5"/>
  <c r="B411" i="5"/>
  <c r="B412" i="5"/>
  <c r="B413" i="5"/>
  <c r="B414" i="5"/>
  <c r="B415" i="5"/>
  <c r="B416" i="5"/>
  <c r="B417" i="5"/>
  <c r="B418" i="5"/>
  <c r="B419" i="5"/>
  <c r="B420" i="5"/>
  <c r="B421" i="5"/>
  <c r="B422" i="5"/>
  <c r="B423" i="5"/>
  <c r="B424" i="5"/>
  <c r="B425" i="5"/>
  <c r="B426" i="5"/>
  <c r="B427" i="5"/>
  <c r="B428" i="5"/>
  <c r="B429" i="5"/>
  <c r="B430" i="5"/>
  <c r="B431" i="5"/>
  <c r="B432" i="5"/>
  <c r="B433" i="5"/>
  <c r="B434" i="5"/>
  <c r="B435" i="5"/>
  <c r="B436" i="5"/>
  <c r="B437" i="5"/>
  <c r="B438" i="5"/>
  <c r="B439" i="5"/>
  <c r="B440" i="5"/>
  <c r="B441" i="5"/>
  <c r="B442" i="5"/>
  <c r="B443" i="5"/>
  <c r="B444" i="5"/>
  <c r="B445" i="5"/>
  <c r="B446" i="5"/>
  <c r="B447" i="5"/>
  <c r="B448" i="5"/>
  <c r="B449" i="5"/>
  <c r="B450" i="5"/>
  <c r="B451" i="5"/>
  <c r="B452" i="5"/>
  <c r="B453" i="5"/>
  <c r="B454" i="5"/>
  <c r="B455" i="5"/>
  <c r="B456" i="5"/>
  <c r="B457" i="5"/>
  <c r="B458" i="5"/>
  <c r="B459" i="5"/>
  <c r="B460" i="5"/>
  <c r="B461" i="5"/>
  <c r="B462" i="5"/>
  <c r="B463" i="5"/>
  <c r="B464" i="5"/>
  <c r="B465" i="5"/>
  <c r="B466" i="5"/>
  <c r="B467" i="5"/>
  <c r="B468" i="5"/>
  <c r="B469" i="5"/>
  <c r="B470" i="5"/>
  <c r="B471" i="5"/>
  <c r="B472" i="5"/>
  <c r="B473" i="5"/>
  <c r="B474" i="5"/>
  <c r="B475" i="5"/>
  <c r="B476" i="5"/>
  <c r="B477" i="5"/>
  <c r="B478" i="5"/>
  <c r="B479" i="5"/>
  <c r="B480" i="5"/>
  <c r="B481" i="5"/>
  <c r="B482" i="5"/>
  <c r="B483" i="5"/>
  <c r="B484" i="5"/>
  <c r="B485" i="5"/>
  <c r="B486" i="5"/>
  <c r="B487" i="5"/>
  <c r="B488" i="5"/>
  <c r="B489" i="5"/>
  <c r="B490" i="5"/>
  <c r="B491" i="5"/>
  <c r="B492" i="5"/>
  <c r="B493" i="5"/>
  <c r="B494" i="5"/>
  <c r="B495" i="5"/>
  <c r="B496" i="5"/>
  <c r="B497" i="5"/>
  <c r="B498" i="5"/>
  <c r="B499" i="5"/>
  <c r="B500" i="5"/>
  <c r="B501" i="5"/>
  <c r="B502" i="5"/>
  <c r="B503" i="5"/>
  <c r="B504" i="5"/>
  <c r="B505" i="5"/>
  <c r="B506" i="5"/>
  <c r="B507" i="5"/>
  <c r="B508" i="5"/>
  <c r="B509" i="5"/>
  <c r="B510" i="5"/>
  <c r="B511" i="5"/>
  <c r="B512" i="5"/>
  <c r="B513" i="5"/>
  <c r="B514" i="5"/>
  <c r="B515" i="5"/>
  <c r="B516" i="5"/>
  <c r="B517" i="5"/>
  <c r="B518" i="5"/>
  <c r="B519" i="5"/>
  <c r="B520" i="5"/>
  <c r="B521" i="5"/>
  <c r="B522" i="5"/>
  <c r="B523" i="5"/>
  <c r="B524" i="5"/>
  <c r="B525" i="5"/>
  <c r="B526" i="5"/>
  <c r="B527" i="5"/>
  <c r="B528" i="5"/>
  <c r="B529" i="5"/>
  <c r="B530" i="5"/>
  <c r="B531" i="5"/>
  <c r="B532" i="5"/>
  <c r="B533" i="5"/>
  <c r="B534" i="5"/>
  <c r="B535" i="5"/>
  <c r="B536" i="5"/>
  <c r="B537" i="5"/>
  <c r="B538" i="5"/>
  <c r="B539" i="5"/>
  <c r="B540" i="5"/>
  <c r="B541" i="5"/>
  <c r="B542" i="5"/>
  <c r="B543" i="5"/>
  <c r="B544" i="5"/>
  <c r="B545" i="5"/>
  <c r="B546" i="5"/>
  <c r="B547" i="5"/>
  <c r="B548" i="5"/>
  <c r="B549" i="5"/>
  <c r="B550" i="5"/>
  <c r="B551" i="5"/>
  <c r="B552" i="5"/>
  <c r="B553" i="5"/>
  <c r="B554" i="5"/>
  <c r="B555" i="5"/>
  <c r="B556" i="5"/>
  <c r="B557" i="5"/>
  <c r="B558" i="5"/>
  <c r="B559" i="5"/>
  <c r="B560" i="5"/>
  <c r="B561" i="5"/>
  <c r="B562" i="5"/>
  <c r="B563" i="5"/>
  <c r="B564" i="5"/>
  <c r="B565" i="5"/>
  <c r="B566" i="5"/>
  <c r="B567" i="5"/>
  <c r="B568" i="5"/>
  <c r="B569" i="5"/>
  <c r="B570" i="5"/>
  <c r="B571" i="5"/>
  <c r="B572" i="5"/>
  <c r="B573" i="5"/>
  <c r="B574" i="5"/>
  <c r="B575" i="5"/>
  <c r="B576" i="5"/>
  <c r="B577" i="5"/>
  <c r="B578" i="5"/>
  <c r="B579" i="5"/>
  <c r="B580" i="5"/>
  <c r="B581" i="5"/>
  <c r="B582" i="5"/>
  <c r="B583" i="5"/>
  <c r="B584" i="5"/>
  <c r="B585" i="5"/>
  <c r="B586" i="5"/>
  <c r="B587" i="5"/>
  <c r="B588" i="5"/>
  <c r="B589" i="5"/>
  <c r="B590" i="5"/>
  <c r="B591" i="5"/>
  <c r="B592" i="5"/>
  <c r="B593" i="5"/>
  <c r="B594" i="5"/>
  <c r="B595" i="5"/>
  <c r="B596" i="5"/>
  <c r="B597" i="5"/>
  <c r="B598" i="5"/>
  <c r="B599" i="5"/>
  <c r="B600" i="5"/>
  <c r="B601" i="5"/>
  <c r="B602" i="5"/>
  <c r="B603" i="5"/>
  <c r="B604" i="5"/>
  <c r="B605" i="5"/>
  <c r="B606" i="5"/>
  <c r="B607" i="5"/>
  <c r="B608" i="5"/>
  <c r="B609" i="5"/>
  <c r="B610" i="5"/>
  <c r="B611" i="5"/>
  <c r="B612" i="5"/>
  <c r="B613" i="5"/>
  <c r="B614" i="5"/>
  <c r="B615" i="5"/>
  <c r="B616" i="5"/>
  <c r="B617" i="5"/>
  <c r="B618" i="5"/>
  <c r="B619" i="5"/>
  <c r="B620" i="5"/>
  <c r="B621" i="5"/>
  <c r="B622" i="5"/>
  <c r="B623" i="5"/>
  <c r="B624" i="5"/>
  <c r="B625" i="5"/>
  <c r="B626" i="5"/>
  <c r="B627" i="5"/>
  <c r="B628" i="5"/>
  <c r="B629" i="5"/>
  <c r="B630" i="5"/>
  <c r="B631" i="5"/>
  <c r="B632" i="5"/>
  <c r="B633" i="5"/>
  <c r="B634" i="5"/>
  <c r="B635" i="5"/>
  <c r="B636" i="5"/>
  <c r="B637" i="5"/>
  <c r="B638" i="5"/>
  <c r="B639" i="5"/>
  <c r="B640" i="5"/>
  <c r="B641" i="5"/>
  <c r="B642" i="5"/>
  <c r="B643" i="5"/>
  <c r="B644" i="5"/>
  <c r="B645" i="5"/>
  <c r="B646" i="5"/>
  <c r="B647" i="5"/>
  <c r="B648" i="5"/>
  <c r="B649" i="5"/>
  <c r="B650" i="5"/>
  <c r="B651" i="5"/>
  <c r="B652" i="5"/>
  <c r="B653" i="5"/>
  <c r="B654" i="5"/>
  <c r="B655" i="5"/>
  <c r="B656" i="5"/>
  <c r="B657" i="5"/>
  <c r="B658" i="5"/>
  <c r="B659" i="5"/>
  <c r="B660" i="5"/>
  <c r="B661" i="5"/>
  <c r="B662" i="5"/>
  <c r="B663" i="5"/>
  <c r="B664" i="5"/>
  <c r="B665" i="5"/>
  <c r="B666" i="5"/>
  <c r="B667" i="5"/>
  <c r="B668" i="5"/>
  <c r="B669" i="5"/>
  <c r="B670" i="5"/>
  <c r="B671" i="5"/>
  <c r="B672" i="5"/>
  <c r="B673" i="5"/>
  <c r="B674" i="5"/>
  <c r="B675" i="5"/>
  <c r="B676" i="5"/>
  <c r="B677" i="5"/>
  <c r="B678" i="5"/>
  <c r="B679" i="5"/>
  <c r="B680" i="5"/>
  <c r="B681" i="5"/>
  <c r="B682" i="5"/>
  <c r="B683" i="5"/>
  <c r="B684" i="5"/>
  <c r="B685" i="5"/>
  <c r="B686" i="5"/>
  <c r="B687" i="5"/>
  <c r="B688" i="5"/>
  <c r="B689" i="5"/>
  <c r="B690" i="5"/>
  <c r="B691" i="5"/>
  <c r="B692" i="5"/>
  <c r="B693" i="5"/>
  <c r="B694" i="5"/>
  <c r="B695" i="5"/>
  <c r="B696" i="5"/>
  <c r="B697" i="5"/>
  <c r="B698" i="5"/>
  <c r="B699" i="5"/>
  <c r="B700" i="5"/>
  <c r="B701" i="5"/>
  <c r="B702" i="5"/>
  <c r="B703" i="5"/>
  <c r="B704" i="5"/>
  <c r="B705" i="5"/>
  <c r="B706" i="5"/>
  <c r="B707" i="5"/>
  <c r="B708" i="5"/>
  <c r="B709" i="5"/>
  <c r="B710" i="5"/>
  <c r="B711" i="5"/>
  <c r="B712" i="5"/>
  <c r="B713" i="5"/>
  <c r="B714" i="5"/>
  <c r="B715" i="5"/>
  <c r="B716" i="5"/>
  <c r="B717" i="5"/>
  <c r="B718" i="5"/>
  <c r="B719" i="5"/>
  <c r="B720" i="5"/>
  <c r="B721" i="5"/>
  <c r="B722" i="5"/>
  <c r="B723" i="5"/>
  <c r="B724" i="5"/>
  <c r="B725" i="5"/>
  <c r="B726" i="5"/>
  <c r="B727" i="5"/>
  <c r="B728" i="5"/>
  <c r="B729" i="5"/>
  <c r="B730" i="5"/>
  <c r="B731" i="5"/>
  <c r="B732" i="5"/>
  <c r="B733" i="5"/>
  <c r="B734" i="5"/>
  <c r="B735" i="5"/>
  <c r="B736" i="5"/>
  <c r="B737" i="5"/>
  <c r="B738" i="5"/>
  <c r="B739" i="5"/>
  <c r="B740" i="5"/>
  <c r="B741" i="5"/>
  <c r="B742" i="5"/>
  <c r="B743" i="5"/>
  <c r="B744" i="5"/>
  <c r="B745" i="5"/>
  <c r="B746" i="5"/>
  <c r="B747" i="5"/>
  <c r="B748" i="5"/>
  <c r="B749" i="5"/>
  <c r="B750" i="5"/>
  <c r="B751" i="5"/>
  <c r="B752" i="5"/>
  <c r="B753" i="5"/>
  <c r="B754" i="5"/>
  <c r="B755" i="5"/>
  <c r="B756" i="5"/>
  <c r="B757" i="5"/>
  <c r="B758" i="5"/>
  <c r="B759" i="5"/>
  <c r="B760" i="5"/>
  <c r="B761" i="5"/>
  <c r="B762" i="5"/>
  <c r="B763" i="5"/>
  <c r="B764" i="5"/>
  <c r="B765" i="5"/>
  <c r="B766" i="5"/>
  <c r="B767" i="5"/>
  <c r="B768" i="5"/>
  <c r="B769" i="5"/>
  <c r="B770" i="5"/>
  <c r="B771" i="5"/>
  <c r="B772" i="5"/>
  <c r="B773" i="5"/>
  <c r="B774" i="5"/>
  <c r="B775" i="5"/>
  <c r="B776" i="5"/>
  <c r="B777" i="5"/>
  <c r="B778" i="5"/>
  <c r="B779" i="5"/>
  <c r="B780" i="5"/>
  <c r="B781" i="5"/>
  <c r="B782" i="5"/>
  <c r="B783" i="5"/>
  <c r="B784" i="5"/>
  <c r="B785" i="5"/>
  <c r="B786" i="5"/>
  <c r="B787" i="5"/>
  <c r="B788" i="5"/>
  <c r="B789" i="5"/>
  <c r="B790" i="5"/>
  <c r="B791" i="5"/>
  <c r="B792" i="5"/>
  <c r="B793" i="5"/>
  <c r="B794" i="5"/>
  <c r="B795" i="5"/>
  <c r="B796" i="5"/>
  <c r="B797" i="5"/>
  <c r="B798" i="5"/>
  <c r="B799" i="5"/>
  <c r="B800" i="5"/>
  <c r="B801" i="5"/>
  <c r="B802" i="5"/>
  <c r="B803" i="5"/>
  <c r="B804" i="5"/>
  <c r="B805" i="5"/>
  <c r="B806" i="5"/>
  <c r="B807" i="5"/>
  <c r="B808" i="5"/>
  <c r="B809" i="5"/>
  <c r="B810" i="5"/>
  <c r="B811" i="5"/>
  <c r="B812" i="5"/>
  <c r="B813" i="5"/>
  <c r="B814" i="5"/>
  <c r="B815" i="5"/>
  <c r="B816" i="5"/>
  <c r="B817" i="5"/>
  <c r="B818" i="5"/>
  <c r="B819" i="5"/>
  <c r="B820" i="5"/>
  <c r="B821" i="5"/>
  <c r="B822" i="5"/>
  <c r="B823" i="5"/>
  <c r="B824" i="5"/>
  <c r="B825" i="5"/>
  <c r="B826" i="5"/>
  <c r="B827" i="5"/>
  <c r="B828" i="5"/>
  <c r="B829" i="5"/>
  <c r="B830" i="5"/>
  <c r="B831" i="5"/>
  <c r="B832" i="5"/>
  <c r="B833" i="5"/>
  <c r="B834" i="5"/>
  <c r="B835" i="5"/>
  <c r="B836" i="5"/>
  <c r="B837" i="5"/>
  <c r="B838" i="5"/>
  <c r="B839" i="5"/>
  <c r="B840" i="5"/>
  <c r="B841" i="5"/>
  <c r="B842" i="5"/>
  <c r="B843" i="5"/>
  <c r="B844" i="5"/>
  <c r="B845" i="5"/>
  <c r="B846" i="5"/>
  <c r="B847" i="5"/>
  <c r="B848" i="5"/>
  <c r="B849" i="5"/>
  <c r="B850" i="5"/>
  <c r="B851" i="5"/>
  <c r="B852" i="5"/>
  <c r="B853" i="5"/>
  <c r="B854" i="5"/>
  <c r="B855" i="5"/>
  <c r="B856" i="5"/>
  <c r="B857" i="5"/>
  <c r="B858" i="5"/>
  <c r="B859" i="5"/>
  <c r="B860" i="5"/>
  <c r="B861" i="5"/>
  <c r="B862" i="5"/>
  <c r="B863" i="5"/>
  <c r="B864" i="5"/>
  <c r="B865" i="5"/>
  <c r="B866" i="5"/>
  <c r="B867" i="5"/>
  <c r="B868" i="5"/>
  <c r="B869" i="5"/>
  <c r="B870" i="5"/>
  <c r="B871" i="5"/>
  <c r="B872" i="5"/>
  <c r="B873" i="5"/>
  <c r="B874" i="5"/>
  <c r="B875" i="5"/>
  <c r="B876" i="5"/>
  <c r="B877" i="5"/>
  <c r="B878" i="5"/>
  <c r="B879" i="5"/>
  <c r="B880" i="5"/>
  <c r="B881" i="5"/>
  <c r="B882" i="5"/>
  <c r="B883" i="5"/>
  <c r="B884" i="5"/>
  <c r="B885" i="5"/>
  <c r="B886" i="5"/>
  <c r="B887" i="5"/>
  <c r="B888" i="5"/>
  <c r="B889" i="5"/>
  <c r="B890" i="5"/>
  <c r="B891" i="5"/>
  <c r="B892" i="5"/>
  <c r="B893" i="5"/>
  <c r="B894" i="5"/>
  <c r="B895" i="5"/>
  <c r="B896" i="5"/>
  <c r="B897" i="5"/>
  <c r="B898" i="5"/>
  <c r="B899" i="5"/>
  <c r="B900" i="5"/>
  <c r="B901" i="5"/>
  <c r="B902" i="5"/>
  <c r="B903" i="5"/>
  <c r="B904" i="5"/>
  <c r="B905" i="5"/>
  <c r="B906" i="5"/>
  <c r="B907" i="5"/>
  <c r="B908" i="5"/>
  <c r="B909" i="5"/>
  <c r="B910" i="5"/>
  <c r="B911" i="5"/>
  <c r="B912" i="5"/>
  <c r="B913" i="5"/>
  <c r="B914" i="5"/>
  <c r="B915" i="5"/>
  <c r="B916" i="5"/>
  <c r="B917" i="5"/>
  <c r="B918" i="5"/>
  <c r="B919" i="5"/>
  <c r="B920" i="5"/>
  <c r="B921" i="5"/>
  <c r="B922" i="5"/>
  <c r="B923" i="5"/>
  <c r="B924" i="5"/>
  <c r="B925" i="5"/>
  <c r="B926" i="5"/>
  <c r="B927" i="5"/>
  <c r="B928" i="5"/>
  <c r="B929" i="5"/>
  <c r="B930" i="5"/>
  <c r="B931" i="5"/>
  <c r="B932" i="5"/>
  <c r="B933" i="5"/>
  <c r="B934" i="5"/>
  <c r="B935" i="5"/>
  <c r="B936" i="5"/>
  <c r="B937" i="5"/>
  <c r="B938" i="5"/>
  <c r="B939" i="5"/>
  <c r="B940" i="5"/>
  <c r="B941" i="5"/>
  <c r="B942" i="5"/>
  <c r="B943" i="5"/>
  <c r="B944" i="5"/>
  <c r="B945" i="5"/>
  <c r="B946" i="5"/>
  <c r="B947" i="5"/>
  <c r="B948" i="5"/>
  <c r="B949" i="5"/>
  <c r="B950" i="5"/>
  <c r="B951" i="5"/>
  <c r="B952" i="5"/>
  <c r="B953" i="5"/>
  <c r="B954" i="5"/>
  <c r="B955" i="5"/>
  <c r="B956" i="5"/>
  <c r="B957" i="5"/>
  <c r="B958" i="5"/>
  <c r="B959" i="5"/>
  <c r="B960" i="5"/>
  <c r="B961" i="5"/>
  <c r="B962" i="5"/>
  <c r="B963" i="5"/>
  <c r="B964" i="5"/>
  <c r="B965" i="5"/>
  <c r="B966" i="5"/>
  <c r="B967" i="5"/>
  <c r="B968" i="5"/>
  <c r="B969" i="5"/>
  <c r="B970" i="5"/>
  <c r="B971" i="5"/>
  <c r="B972" i="5"/>
  <c r="B973" i="5"/>
  <c r="B974" i="5"/>
  <c r="B975" i="5"/>
  <c r="B976" i="5"/>
  <c r="B977" i="5"/>
  <c r="B978" i="5"/>
  <c r="B979" i="5"/>
  <c r="B980" i="5"/>
  <c r="B981" i="5"/>
  <c r="B982" i="5"/>
  <c r="B983" i="5"/>
  <c r="B984" i="5"/>
  <c r="B985" i="5"/>
  <c r="B986" i="5"/>
  <c r="B987" i="5"/>
  <c r="B988" i="5"/>
  <c r="B989" i="5"/>
  <c r="B990" i="5"/>
  <c r="B991" i="5"/>
  <c r="B992" i="5"/>
  <c r="B993" i="5"/>
  <c r="B994" i="5"/>
  <c r="B995" i="5"/>
  <c r="B996" i="5"/>
  <c r="B997" i="5"/>
  <c r="B998" i="5"/>
  <c r="B999" i="5"/>
  <c r="B1000" i="5"/>
  <c r="D2" i="4"/>
  <c r="D3" i="4"/>
  <c r="D4" i="4"/>
  <c r="D5" i="4"/>
  <c r="D6" i="4"/>
  <c r="D7" i="4"/>
  <c r="D8" i="4"/>
  <c r="D9" i="4"/>
  <c r="D10" i="4"/>
  <c r="D11" i="4"/>
  <c r="D12" i="4"/>
  <c r="D13" i="4"/>
  <c r="D14" i="4"/>
  <c r="D15" i="4"/>
  <c r="D16" i="4"/>
  <c r="D17" i="4"/>
  <c r="D18" i="4"/>
  <c r="D19" i="4"/>
  <c r="D20" i="4"/>
  <c r="D21" i="4"/>
  <c r="D22" i="4"/>
  <c r="D23" i="4"/>
  <c r="D24" i="4"/>
  <c r="D25" i="4"/>
  <c r="D26" i="4"/>
  <c r="D27" i="4"/>
  <c r="D28" i="4"/>
  <c r="D29" i="4"/>
  <c r="D30" i="4"/>
  <c r="D31" i="4"/>
  <c r="D32" i="4"/>
  <c r="D33" i="4"/>
  <c r="D34" i="4"/>
  <c r="D35" i="4"/>
  <c r="D36" i="4"/>
  <c r="D37" i="4"/>
  <c r="D38" i="4"/>
  <c r="D39" i="4"/>
  <c r="D40" i="4"/>
  <c r="D41" i="4"/>
  <c r="D42" i="4"/>
  <c r="D43" i="4"/>
  <c r="D44" i="4"/>
  <c r="D45" i="4"/>
  <c r="D46" i="4"/>
  <c r="D47" i="4"/>
  <c r="D48" i="4"/>
  <c r="D49" i="4"/>
  <c r="D50" i="4"/>
  <c r="D51" i="4"/>
  <c r="D52" i="4"/>
  <c r="D53" i="4"/>
  <c r="D54" i="4"/>
  <c r="D55" i="4"/>
  <c r="D56" i="4"/>
  <c r="D57" i="4"/>
  <c r="D58" i="4"/>
  <c r="D59" i="4"/>
  <c r="D60" i="4"/>
  <c r="D61" i="4"/>
  <c r="D62" i="4"/>
  <c r="D63" i="4"/>
  <c r="D64" i="4"/>
  <c r="D65" i="4"/>
  <c r="D66" i="4"/>
  <c r="D67" i="4"/>
  <c r="D68" i="4"/>
  <c r="D69" i="4"/>
  <c r="D70" i="4"/>
  <c r="D71" i="4"/>
  <c r="D72" i="4"/>
  <c r="D73" i="4"/>
  <c r="D74" i="4"/>
  <c r="D75" i="4"/>
  <c r="D76" i="4"/>
  <c r="D77" i="4"/>
  <c r="D78" i="4"/>
  <c r="D79" i="4"/>
  <c r="D80" i="4"/>
  <c r="D81" i="4"/>
  <c r="D82" i="4"/>
  <c r="D83" i="4"/>
  <c r="D84" i="4"/>
  <c r="D85" i="4"/>
  <c r="D86" i="4"/>
  <c r="D87" i="4"/>
  <c r="D88" i="4"/>
  <c r="D89" i="4"/>
  <c r="D90" i="4"/>
  <c r="D91" i="4"/>
  <c r="D92" i="4"/>
  <c r="D93" i="4"/>
  <c r="D94" i="4"/>
  <c r="D95" i="4"/>
  <c r="D96" i="4"/>
  <c r="D97" i="4"/>
  <c r="D98" i="4"/>
  <c r="D99" i="4"/>
  <c r="D100" i="4"/>
  <c r="D101" i="4"/>
  <c r="D102" i="4"/>
  <c r="D103" i="4"/>
  <c r="D104" i="4"/>
  <c r="D105" i="4"/>
  <c r="D106" i="4"/>
  <c r="D107" i="4"/>
  <c r="D108" i="4"/>
  <c r="D109" i="4"/>
  <c r="D110" i="4"/>
  <c r="D111" i="4"/>
  <c r="D112" i="4"/>
  <c r="D113" i="4"/>
  <c r="D114" i="4"/>
  <c r="D115" i="4"/>
  <c r="D116" i="4"/>
  <c r="D117" i="4"/>
  <c r="D118" i="4"/>
  <c r="D119" i="4"/>
  <c r="D120" i="4"/>
  <c r="D121" i="4"/>
  <c r="D122" i="4"/>
  <c r="D123" i="4"/>
  <c r="D124" i="4"/>
  <c r="D125" i="4"/>
  <c r="D126" i="4"/>
  <c r="D127" i="4"/>
  <c r="D128" i="4"/>
  <c r="D129" i="4"/>
  <c r="D130" i="4"/>
  <c r="D131" i="4"/>
  <c r="D132" i="4"/>
  <c r="D133" i="4"/>
  <c r="D134" i="4"/>
  <c r="D135" i="4"/>
  <c r="D136" i="4"/>
  <c r="D137" i="4"/>
  <c r="D138" i="4"/>
  <c r="D139" i="4"/>
  <c r="D140" i="4"/>
  <c r="D141" i="4"/>
  <c r="D142" i="4"/>
  <c r="D143" i="4"/>
  <c r="D144" i="4"/>
  <c r="D145" i="4"/>
  <c r="D146" i="4"/>
  <c r="D147" i="4"/>
  <c r="D148" i="4"/>
  <c r="D149" i="4"/>
  <c r="D150" i="4"/>
  <c r="D151" i="4"/>
  <c r="D152" i="4"/>
  <c r="D153" i="4"/>
  <c r="D154" i="4"/>
  <c r="D155" i="4"/>
  <c r="D156" i="4"/>
  <c r="D157" i="4"/>
  <c r="D158" i="4"/>
  <c r="D159" i="4"/>
  <c r="D160" i="4"/>
  <c r="D161" i="4"/>
  <c r="D162" i="4"/>
  <c r="D163" i="4"/>
  <c r="D164" i="4"/>
  <c r="D165" i="4"/>
  <c r="D166" i="4"/>
  <c r="D167" i="4"/>
  <c r="D168" i="4"/>
  <c r="D169" i="4"/>
  <c r="D170" i="4"/>
  <c r="D171" i="4"/>
  <c r="D172" i="4"/>
  <c r="D173" i="4"/>
  <c r="D174" i="4"/>
  <c r="D175" i="4"/>
  <c r="D176" i="4"/>
  <c r="D177" i="4"/>
  <c r="D178" i="4"/>
  <c r="D179" i="4"/>
  <c r="D180" i="4"/>
  <c r="D181" i="4"/>
  <c r="D182" i="4"/>
  <c r="D183" i="4"/>
  <c r="D184" i="4"/>
  <c r="D185" i="4"/>
  <c r="D186" i="4"/>
  <c r="D187" i="4"/>
  <c r="D188" i="4"/>
  <c r="D189" i="4"/>
  <c r="D190" i="4"/>
  <c r="D191" i="4"/>
  <c r="D192" i="4"/>
  <c r="D193" i="4"/>
  <c r="D194" i="4"/>
  <c r="D195" i="4"/>
  <c r="D196" i="4"/>
  <c r="D197" i="4"/>
  <c r="D198" i="4"/>
  <c r="D199" i="4"/>
  <c r="D200" i="4"/>
  <c r="D201" i="4"/>
  <c r="D202" i="4"/>
  <c r="D203" i="4"/>
  <c r="D204" i="4"/>
  <c r="D205" i="4"/>
  <c r="D206" i="4"/>
  <c r="D207" i="4"/>
  <c r="D208" i="4"/>
  <c r="D209" i="4"/>
  <c r="D210" i="4"/>
  <c r="D211" i="4"/>
  <c r="D212" i="4"/>
  <c r="D213" i="4"/>
  <c r="D214" i="4"/>
  <c r="D215" i="4"/>
  <c r="D216" i="4"/>
  <c r="D217" i="4"/>
  <c r="D218" i="4"/>
  <c r="D219" i="4"/>
  <c r="D220" i="4"/>
  <c r="D221" i="4"/>
  <c r="D222" i="4"/>
  <c r="D223" i="4"/>
  <c r="D224" i="4"/>
  <c r="D225" i="4"/>
  <c r="D226" i="4"/>
  <c r="D227" i="4"/>
  <c r="D228" i="4"/>
  <c r="D229" i="4"/>
  <c r="D230" i="4"/>
  <c r="D231" i="4"/>
  <c r="D232" i="4"/>
  <c r="D233" i="4"/>
  <c r="D234" i="4"/>
  <c r="D235" i="4"/>
  <c r="D236" i="4"/>
  <c r="D237" i="4"/>
  <c r="D238" i="4"/>
  <c r="D239" i="4"/>
  <c r="D240" i="4"/>
  <c r="D241" i="4"/>
  <c r="D242" i="4"/>
  <c r="D243" i="4"/>
  <c r="D244" i="4"/>
  <c r="D245" i="4"/>
  <c r="D246" i="4"/>
  <c r="D247" i="4"/>
  <c r="D248" i="4"/>
  <c r="D249" i="4"/>
  <c r="D250" i="4"/>
  <c r="D251" i="4"/>
  <c r="D252" i="4"/>
  <c r="D253" i="4"/>
  <c r="D254" i="4"/>
  <c r="D255" i="4"/>
  <c r="D256" i="4"/>
  <c r="D257" i="4"/>
  <c r="D258" i="4"/>
  <c r="D259" i="4"/>
  <c r="D260" i="4"/>
  <c r="D261" i="4"/>
  <c r="D262" i="4"/>
  <c r="D263" i="4"/>
  <c r="D264" i="4"/>
  <c r="D265" i="4"/>
  <c r="D266" i="4"/>
  <c r="D267" i="4"/>
  <c r="D268" i="4"/>
  <c r="D269" i="4"/>
  <c r="D270" i="4"/>
  <c r="D271" i="4"/>
  <c r="D272" i="4"/>
  <c r="D273" i="4"/>
  <c r="D274" i="4"/>
  <c r="D275" i="4"/>
  <c r="D276" i="4"/>
  <c r="D277" i="4"/>
  <c r="D278" i="4"/>
  <c r="D279" i="4"/>
  <c r="D280" i="4"/>
  <c r="D281" i="4"/>
  <c r="D282" i="4"/>
  <c r="D283" i="4"/>
  <c r="D284" i="4"/>
  <c r="D285" i="4"/>
  <c r="D286" i="4"/>
  <c r="D287" i="4"/>
  <c r="D288" i="4"/>
  <c r="D289" i="4"/>
  <c r="D290" i="4"/>
  <c r="D291" i="4"/>
  <c r="D292" i="4"/>
  <c r="D293" i="4"/>
  <c r="D294" i="4"/>
  <c r="D295" i="4"/>
  <c r="D296" i="4"/>
  <c r="D297" i="4"/>
  <c r="D298" i="4"/>
  <c r="D299" i="4"/>
  <c r="D300" i="4"/>
  <c r="D301" i="4"/>
  <c r="D302" i="4"/>
  <c r="D303" i="4"/>
  <c r="D304" i="4"/>
  <c r="D305" i="4"/>
  <c r="D306" i="4"/>
  <c r="D307" i="4"/>
  <c r="D308" i="4"/>
  <c r="D309" i="4"/>
  <c r="D310" i="4"/>
  <c r="D311" i="4"/>
  <c r="D312" i="4"/>
  <c r="D313" i="4"/>
  <c r="D314" i="4"/>
  <c r="D315" i="4"/>
  <c r="D316" i="4"/>
  <c r="D317" i="4"/>
  <c r="D318" i="4"/>
  <c r="D319" i="4"/>
  <c r="D320" i="4"/>
  <c r="D321" i="4"/>
  <c r="D322" i="4"/>
  <c r="D323" i="4"/>
  <c r="D324" i="4"/>
  <c r="D325" i="4"/>
  <c r="D326" i="4"/>
  <c r="D327" i="4"/>
  <c r="D328" i="4"/>
  <c r="D329" i="4"/>
  <c r="D330" i="4"/>
  <c r="D331" i="4"/>
  <c r="D332" i="4"/>
  <c r="D333" i="4"/>
  <c r="D334" i="4"/>
  <c r="D335" i="4"/>
  <c r="D336" i="4"/>
  <c r="D337" i="4"/>
  <c r="D338" i="4"/>
  <c r="D339" i="4"/>
  <c r="D340" i="4"/>
  <c r="D341" i="4"/>
  <c r="D342" i="4"/>
  <c r="D343" i="4"/>
  <c r="D344" i="4"/>
  <c r="D345" i="4"/>
  <c r="D346" i="4"/>
  <c r="D347" i="4"/>
  <c r="D348" i="4"/>
  <c r="D349" i="4"/>
  <c r="D350" i="4"/>
  <c r="D351" i="4"/>
  <c r="D352" i="4"/>
  <c r="D353" i="4"/>
  <c r="D354" i="4"/>
  <c r="D355" i="4"/>
  <c r="D356" i="4"/>
  <c r="D357" i="4"/>
  <c r="D358" i="4"/>
  <c r="D359" i="4"/>
  <c r="D360" i="4"/>
  <c r="D361" i="4"/>
  <c r="D362" i="4"/>
  <c r="D363" i="4"/>
  <c r="D364" i="4"/>
  <c r="D365" i="4"/>
  <c r="D366" i="4"/>
  <c r="D367" i="4"/>
  <c r="D368" i="4"/>
  <c r="D369" i="4"/>
  <c r="D370" i="4"/>
  <c r="D371" i="4"/>
  <c r="D372" i="4"/>
  <c r="D373" i="4"/>
  <c r="D374" i="4"/>
  <c r="D375" i="4"/>
  <c r="D376" i="4"/>
  <c r="D377" i="4"/>
  <c r="D378" i="4"/>
  <c r="D379" i="4"/>
  <c r="D380" i="4"/>
  <c r="D381" i="4"/>
  <c r="D382" i="4"/>
  <c r="D383" i="4"/>
  <c r="D384" i="4"/>
  <c r="D385" i="4"/>
  <c r="D386" i="4"/>
  <c r="D387" i="4"/>
  <c r="D388" i="4"/>
  <c r="D389" i="4"/>
  <c r="D390" i="4"/>
  <c r="D391" i="4"/>
  <c r="D392" i="4"/>
  <c r="D393" i="4"/>
  <c r="D394" i="4"/>
  <c r="D395" i="4"/>
  <c r="D396" i="4"/>
  <c r="D397" i="4"/>
  <c r="D398" i="4"/>
  <c r="D399" i="4"/>
  <c r="D400" i="4"/>
  <c r="D401" i="4"/>
  <c r="D402" i="4"/>
  <c r="D403" i="4"/>
  <c r="D404" i="4"/>
  <c r="D405" i="4"/>
  <c r="D406" i="4"/>
  <c r="D407" i="4"/>
  <c r="D408" i="4"/>
  <c r="D409" i="4"/>
  <c r="D410" i="4"/>
  <c r="D411" i="4"/>
  <c r="D412" i="4"/>
  <c r="D413" i="4"/>
  <c r="D414" i="4"/>
  <c r="D415" i="4"/>
  <c r="D416" i="4"/>
  <c r="D417" i="4"/>
  <c r="D418" i="4"/>
  <c r="D419" i="4"/>
  <c r="D420" i="4"/>
  <c r="D421" i="4"/>
  <c r="D422" i="4"/>
  <c r="D423" i="4"/>
  <c r="D424" i="4"/>
  <c r="D425" i="4"/>
  <c r="D426" i="4"/>
  <c r="D427" i="4"/>
  <c r="D428" i="4"/>
  <c r="D429" i="4"/>
  <c r="D430" i="4"/>
  <c r="D431" i="4"/>
  <c r="D432" i="4"/>
  <c r="D433" i="4"/>
  <c r="D434" i="4"/>
  <c r="D435" i="4"/>
  <c r="D436" i="4"/>
  <c r="D437" i="4"/>
  <c r="D438" i="4"/>
  <c r="D439" i="4"/>
  <c r="D440" i="4"/>
  <c r="D441" i="4"/>
  <c r="D442" i="4"/>
  <c r="D443" i="4"/>
  <c r="D444" i="4"/>
  <c r="D445" i="4"/>
  <c r="D446" i="4"/>
  <c r="D447" i="4"/>
  <c r="D448" i="4"/>
  <c r="D449" i="4"/>
  <c r="D450" i="4"/>
  <c r="D451" i="4"/>
  <c r="D452" i="4"/>
  <c r="D453" i="4"/>
  <c r="D454" i="4"/>
  <c r="D455" i="4"/>
  <c r="D456" i="4"/>
  <c r="D457" i="4"/>
  <c r="D458" i="4"/>
  <c r="D459" i="4"/>
  <c r="D460" i="4"/>
  <c r="D461" i="4"/>
  <c r="D462" i="4"/>
  <c r="D463" i="4"/>
  <c r="D464" i="4"/>
  <c r="D465" i="4"/>
  <c r="D466" i="4"/>
  <c r="D467" i="4"/>
  <c r="D468" i="4"/>
  <c r="D469" i="4"/>
  <c r="D470" i="4"/>
  <c r="D471" i="4"/>
  <c r="D472" i="4"/>
  <c r="D473" i="4"/>
  <c r="D474" i="4"/>
  <c r="D475" i="4"/>
  <c r="D476" i="4"/>
  <c r="D477" i="4"/>
  <c r="D478" i="4"/>
  <c r="D479" i="4"/>
  <c r="D480" i="4"/>
  <c r="D481" i="4"/>
  <c r="D482" i="4"/>
  <c r="D483" i="4"/>
  <c r="D484" i="4"/>
  <c r="D485" i="4"/>
  <c r="D486" i="4"/>
  <c r="D487" i="4"/>
  <c r="D488" i="4"/>
  <c r="D489" i="4"/>
  <c r="D490" i="4"/>
  <c r="D491" i="4"/>
  <c r="D492" i="4"/>
  <c r="D493" i="4"/>
  <c r="D494" i="4"/>
  <c r="D495" i="4"/>
  <c r="D496" i="4"/>
  <c r="D497" i="4"/>
  <c r="D498" i="4"/>
  <c r="D499" i="4"/>
  <c r="D500" i="4"/>
  <c r="D501" i="4"/>
  <c r="D502" i="4"/>
  <c r="D503" i="4"/>
  <c r="D504" i="4"/>
  <c r="D505" i="4"/>
  <c r="D506" i="4"/>
  <c r="D507" i="4"/>
  <c r="D508" i="4"/>
  <c r="D509" i="4"/>
  <c r="D510" i="4"/>
  <c r="D511" i="4"/>
  <c r="D512" i="4"/>
  <c r="D513" i="4"/>
  <c r="D514" i="4"/>
  <c r="D515" i="4"/>
  <c r="D516" i="4"/>
  <c r="D517" i="4"/>
  <c r="D518" i="4"/>
  <c r="D519" i="4"/>
  <c r="D520" i="4"/>
  <c r="D521" i="4"/>
  <c r="D522" i="4"/>
  <c r="D523" i="4"/>
  <c r="D524" i="4"/>
  <c r="D525" i="4"/>
  <c r="D526" i="4"/>
  <c r="D527" i="4"/>
  <c r="D528" i="4"/>
  <c r="D529" i="4"/>
  <c r="D530" i="4"/>
  <c r="D531" i="4"/>
  <c r="D532" i="4"/>
  <c r="D533" i="4"/>
  <c r="D534" i="4"/>
  <c r="D535" i="4"/>
  <c r="D536" i="4"/>
  <c r="D537" i="4"/>
  <c r="D538" i="4"/>
  <c r="D539" i="4"/>
  <c r="D540" i="4"/>
  <c r="D541" i="4"/>
  <c r="D542" i="4"/>
  <c r="D543" i="4"/>
  <c r="D544" i="4"/>
  <c r="D545" i="4"/>
  <c r="D546" i="4"/>
  <c r="D547" i="4"/>
  <c r="D548" i="4"/>
  <c r="D549" i="4"/>
  <c r="D550" i="4"/>
  <c r="D551" i="4"/>
  <c r="D552" i="4"/>
  <c r="D553" i="4"/>
  <c r="D554" i="4"/>
  <c r="D555" i="4"/>
  <c r="D556" i="4"/>
  <c r="D557" i="4"/>
  <c r="D558" i="4"/>
  <c r="D559" i="4"/>
  <c r="D560" i="4"/>
  <c r="D561" i="4"/>
  <c r="D562" i="4"/>
  <c r="D563" i="4"/>
  <c r="D564" i="4"/>
  <c r="D565" i="4"/>
  <c r="D566" i="4"/>
  <c r="D567" i="4"/>
  <c r="D568" i="4"/>
  <c r="D569" i="4"/>
  <c r="D570" i="4"/>
  <c r="D571" i="4"/>
  <c r="D572" i="4"/>
  <c r="D573" i="4"/>
  <c r="D574" i="4"/>
  <c r="D575" i="4"/>
  <c r="D576" i="4"/>
  <c r="D577" i="4"/>
  <c r="D578" i="4"/>
  <c r="D579" i="4"/>
  <c r="D580" i="4"/>
  <c r="D581" i="4"/>
  <c r="D582" i="4"/>
  <c r="D583" i="4"/>
  <c r="D584" i="4"/>
  <c r="D585" i="4"/>
  <c r="D586" i="4"/>
  <c r="D587" i="4"/>
  <c r="D588" i="4"/>
  <c r="D589" i="4"/>
  <c r="D590" i="4"/>
  <c r="D591" i="4"/>
  <c r="D592" i="4"/>
  <c r="D593" i="4"/>
  <c r="D594" i="4"/>
  <c r="D595" i="4"/>
  <c r="D596" i="4"/>
  <c r="D597" i="4"/>
  <c r="D598" i="4"/>
  <c r="D599" i="4"/>
  <c r="D600" i="4"/>
  <c r="D601" i="4"/>
  <c r="D602" i="4"/>
  <c r="D603" i="4"/>
  <c r="D604" i="4"/>
  <c r="D605" i="4"/>
  <c r="D606" i="4"/>
  <c r="D607" i="4"/>
  <c r="D608" i="4"/>
  <c r="D609" i="4"/>
  <c r="D610" i="4"/>
  <c r="D611" i="4"/>
  <c r="D612" i="4"/>
  <c r="D613" i="4"/>
  <c r="D614" i="4"/>
  <c r="D615" i="4"/>
  <c r="D616" i="4"/>
  <c r="D617" i="4"/>
  <c r="D618" i="4"/>
  <c r="D619" i="4"/>
  <c r="D620" i="4"/>
  <c r="D621" i="4"/>
  <c r="D622" i="4"/>
  <c r="D623" i="4"/>
  <c r="D624" i="4"/>
  <c r="D625" i="4"/>
  <c r="D626" i="4"/>
  <c r="D627" i="4"/>
  <c r="D628" i="4"/>
  <c r="D629" i="4"/>
  <c r="D630" i="4"/>
  <c r="D631" i="4"/>
  <c r="D632" i="4"/>
  <c r="D633" i="4"/>
  <c r="D634" i="4"/>
  <c r="D635" i="4"/>
  <c r="D636" i="4"/>
  <c r="D637" i="4"/>
  <c r="D638" i="4"/>
  <c r="D639" i="4"/>
  <c r="D640" i="4"/>
  <c r="D641" i="4"/>
  <c r="D642" i="4"/>
  <c r="D643" i="4"/>
  <c r="D644" i="4"/>
  <c r="D645" i="4"/>
  <c r="D646" i="4"/>
  <c r="D647" i="4"/>
  <c r="D648" i="4"/>
  <c r="D649" i="4"/>
  <c r="D650" i="4"/>
  <c r="D651" i="4"/>
  <c r="D652" i="4"/>
  <c r="D653" i="4"/>
  <c r="D654" i="4"/>
  <c r="D655" i="4"/>
  <c r="D656" i="4"/>
  <c r="D657" i="4"/>
  <c r="D658" i="4"/>
  <c r="D659" i="4"/>
  <c r="D660" i="4"/>
  <c r="D661" i="4"/>
  <c r="D662" i="4"/>
  <c r="D663" i="4"/>
  <c r="D664" i="4"/>
  <c r="D665" i="4"/>
  <c r="D666" i="4"/>
  <c r="D667" i="4"/>
  <c r="D668" i="4"/>
  <c r="D669" i="4"/>
  <c r="D670" i="4"/>
  <c r="D671" i="4"/>
  <c r="D672" i="4"/>
  <c r="D673" i="4"/>
  <c r="D674" i="4"/>
  <c r="D675" i="4"/>
  <c r="D676" i="4"/>
  <c r="D677" i="4"/>
  <c r="D678" i="4"/>
  <c r="D679" i="4"/>
  <c r="D680" i="4"/>
  <c r="D681" i="4"/>
  <c r="D682" i="4"/>
  <c r="D683" i="4"/>
  <c r="D684" i="4"/>
  <c r="D685" i="4"/>
  <c r="D686" i="4"/>
  <c r="D687" i="4"/>
  <c r="D688" i="4"/>
  <c r="D689" i="4"/>
  <c r="D690" i="4"/>
  <c r="D691" i="4"/>
  <c r="D692" i="4"/>
  <c r="D693" i="4"/>
  <c r="D694" i="4"/>
  <c r="D695" i="4"/>
  <c r="D696" i="4"/>
  <c r="D697" i="4"/>
  <c r="D698" i="4"/>
  <c r="D699" i="4"/>
  <c r="D700" i="4"/>
  <c r="D701" i="4"/>
  <c r="D702" i="4"/>
  <c r="D703" i="4"/>
  <c r="D704" i="4"/>
  <c r="D705" i="4"/>
  <c r="D706" i="4"/>
  <c r="D707" i="4"/>
  <c r="D708" i="4"/>
  <c r="D709" i="4"/>
  <c r="D710" i="4"/>
  <c r="D711" i="4"/>
  <c r="D712" i="4"/>
  <c r="D713" i="4"/>
  <c r="D714" i="4"/>
  <c r="D715" i="4"/>
  <c r="D716" i="4"/>
  <c r="D717" i="4"/>
  <c r="D718" i="4"/>
  <c r="D719" i="4"/>
  <c r="D720" i="4"/>
  <c r="D721" i="4"/>
  <c r="D722" i="4"/>
  <c r="D723" i="4"/>
  <c r="D724" i="4"/>
  <c r="D725" i="4"/>
  <c r="D726" i="4"/>
  <c r="D727" i="4"/>
  <c r="D728" i="4"/>
  <c r="D729" i="4"/>
  <c r="D730" i="4"/>
  <c r="D731" i="4"/>
  <c r="D732" i="4"/>
  <c r="D733" i="4"/>
  <c r="D734" i="4"/>
  <c r="D735" i="4"/>
  <c r="D736" i="4"/>
  <c r="D737" i="4"/>
  <c r="D738" i="4"/>
  <c r="D739" i="4"/>
  <c r="D740" i="4"/>
  <c r="D741" i="4"/>
  <c r="D742" i="4"/>
  <c r="D743" i="4"/>
  <c r="D744" i="4"/>
  <c r="D745" i="4"/>
  <c r="D746" i="4"/>
  <c r="D747" i="4"/>
  <c r="D748" i="4"/>
  <c r="D749" i="4"/>
  <c r="D750" i="4"/>
  <c r="D751" i="4"/>
  <c r="D752" i="4"/>
  <c r="D753" i="4"/>
  <c r="D754" i="4"/>
  <c r="D755" i="4"/>
  <c r="D756" i="4"/>
  <c r="D757" i="4"/>
  <c r="D758" i="4"/>
  <c r="D759" i="4"/>
  <c r="D760" i="4"/>
  <c r="D761" i="4"/>
  <c r="D762" i="4"/>
  <c r="D763" i="4"/>
  <c r="D764" i="4"/>
  <c r="D765" i="4"/>
  <c r="D766" i="4"/>
  <c r="D767" i="4"/>
  <c r="D768" i="4"/>
  <c r="D769" i="4"/>
  <c r="D770" i="4"/>
  <c r="D771" i="4"/>
  <c r="D772" i="4"/>
  <c r="D773" i="4"/>
  <c r="D774" i="4"/>
  <c r="D775" i="4"/>
  <c r="D776" i="4"/>
  <c r="D777" i="4"/>
  <c r="D778" i="4"/>
  <c r="D779" i="4"/>
  <c r="D780" i="4"/>
  <c r="D781" i="4"/>
  <c r="D782" i="4"/>
  <c r="D783" i="4"/>
  <c r="D784" i="4"/>
  <c r="D785" i="4"/>
  <c r="D786" i="4"/>
  <c r="D787" i="4"/>
  <c r="D788" i="4"/>
  <c r="D789" i="4"/>
  <c r="D790" i="4"/>
  <c r="D791" i="4"/>
  <c r="D792" i="4"/>
  <c r="D793" i="4"/>
  <c r="D794" i="4"/>
  <c r="D795" i="4"/>
  <c r="D796" i="4"/>
  <c r="D797" i="4"/>
  <c r="D798" i="4"/>
  <c r="D799" i="4"/>
  <c r="D800" i="4"/>
  <c r="D801" i="4"/>
  <c r="D802" i="4"/>
  <c r="D803" i="4"/>
  <c r="D804" i="4"/>
  <c r="D805" i="4"/>
  <c r="D806" i="4"/>
  <c r="D807" i="4"/>
  <c r="D808" i="4"/>
  <c r="D809" i="4"/>
  <c r="D810" i="4"/>
  <c r="D811" i="4"/>
  <c r="D812" i="4"/>
  <c r="D813" i="4"/>
  <c r="D814" i="4"/>
  <c r="D815" i="4"/>
  <c r="D816" i="4"/>
  <c r="D817" i="4"/>
  <c r="D818" i="4"/>
  <c r="D819" i="4"/>
  <c r="D820" i="4"/>
  <c r="D821" i="4"/>
  <c r="D822" i="4"/>
  <c r="D823" i="4"/>
  <c r="D824" i="4"/>
  <c r="D825" i="4"/>
  <c r="D826" i="4"/>
  <c r="D827" i="4"/>
  <c r="D828" i="4"/>
  <c r="D829" i="4"/>
  <c r="D830" i="4"/>
  <c r="D831" i="4"/>
  <c r="D832" i="4"/>
  <c r="D833" i="4"/>
  <c r="D834" i="4"/>
  <c r="D835" i="4"/>
  <c r="D836" i="4"/>
  <c r="D837" i="4"/>
  <c r="D838" i="4"/>
  <c r="D839" i="4"/>
  <c r="D840" i="4"/>
  <c r="D841" i="4"/>
  <c r="D842" i="4"/>
  <c r="D843" i="4"/>
  <c r="D844" i="4"/>
  <c r="D845" i="4"/>
  <c r="D846" i="4"/>
  <c r="D847" i="4"/>
  <c r="D848" i="4"/>
  <c r="D849" i="4"/>
  <c r="D850" i="4"/>
  <c r="D851" i="4"/>
  <c r="D852" i="4"/>
  <c r="D853" i="4"/>
  <c r="D854" i="4"/>
  <c r="D855" i="4"/>
  <c r="D856" i="4"/>
  <c r="D857" i="4"/>
  <c r="D858" i="4"/>
  <c r="D859" i="4"/>
  <c r="D860" i="4"/>
  <c r="D861" i="4"/>
  <c r="D862" i="4"/>
  <c r="D863" i="4"/>
  <c r="D864" i="4"/>
  <c r="D865" i="4"/>
  <c r="D866" i="4"/>
  <c r="D867" i="4"/>
  <c r="D868" i="4"/>
  <c r="D869" i="4"/>
  <c r="D870" i="4"/>
  <c r="D871" i="4"/>
  <c r="D872" i="4"/>
  <c r="D873" i="4"/>
  <c r="D874" i="4"/>
  <c r="D875" i="4"/>
  <c r="D876" i="4"/>
  <c r="D877" i="4"/>
  <c r="D878" i="4"/>
  <c r="D879" i="4"/>
  <c r="D880" i="4"/>
  <c r="D881" i="4"/>
  <c r="D882" i="4"/>
  <c r="D883" i="4"/>
  <c r="D884" i="4"/>
  <c r="D885" i="4"/>
  <c r="D886" i="4"/>
  <c r="D887" i="4"/>
  <c r="D888" i="4"/>
  <c r="D889" i="4"/>
  <c r="D890" i="4"/>
  <c r="D891" i="4"/>
  <c r="D892" i="4"/>
  <c r="D893" i="4"/>
  <c r="D894" i="4"/>
  <c r="D895" i="4"/>
  <c r="D896" i="4"/>
  <c r="D897" i="4"/>
  <c r="D898" i="4"/>
  <c r="D899" i="4"/>
  <c r="D900" i="4"/>
  <c r="D901" i="4"/>
  <c r="D902" i="4"/>
  <c r="D903" i="4"/>
  <c r="D904" i="4"/>
  <c r="D905" i="4"/>
  <c r="D906" i="4"/>
  <c r="D907" i="4"/>
  <c r="D908" i="4"/>
  <c r="D909" i="4"/>
  <c r="D910" i="4"/>
  <c r="D911" i="4"/>
  <c r="D912" i="4"/>
  <c r="D913" i="4"/>
  <c r="D914" i="4"/>
  <c r="D915" i="4"/>
  <c r="D916" i="4"/>
  <c r="D917" i="4"/>
  <c r="D918" i="4"/>
  <c r="D919" i="4"/>
  <c r="D920" i="4"/>
  <c r="D921" i="4"/>
  <c r="D922" i="4"/>
  <c r="D923" i="4"/>
  <c r="D924" i="4"/>
  <c r="D925" i="4"/>
  <c r="D926" i="4"/>
  <c r="D927" i="4"/>
  <c r="D928" i="4"/>
  <c r="D929" i="4"/>
  <c r="D930" i="4"/>
  <c r="D931" i="4"/>
  <c r="D932" i="4"/>
  <c r="D933" i="4"/>
  <c r="D934" i="4"/>
  <c r="D935" i="4"/>
  <c r="D936" i="4"/>
  <c r="D937" i="4"/>
  <c r="D938" i="4"/>
  <c r="D939" i="4"/>
  <c r="D940" i="4"/>
  <c r="D941" i="4"/>
  <c r="D942" i="4"/>
  <c r="D943" i="4"/>
  <c r="D944" i="4"/>
  <c r="D945" i="4"/>
  <c r="D946" i="4"/>
  <c r="D947" i="4"/>
  <c r="D948" i="4"/>
  <c r="D949" i="4"/>
  <c r="D950" i="4"/>
  <c r="D951" i="4"/>
  <c r="D952" i="4"/>
  <c r="D953" i="4"/>
  <c r="D954" i="4"/>
  <c r="D955" i="4"/>
  <c r="D956" i="4"/>
  <c r="D957" i="4"/>
  <c r="D958" i="4"/>
  <c r="D959" i="4"/>
  <c r="D960" i="4"/>
  <c r="D961" i="4"/>
  <c r="D962" i="4"/>
  <c r="D963" i="4"/>
  <c r="D964" i="4"/>
  <c r="D965" i="4"/>
  <c r="D966" i="4"/>
  <c r="D967" i="4"/>
  <c r="D968" i="4"/>
  <c r="D969" i="4"/>
  <c r="D970" i="4"/>
  <c r="D971" i="4"/>
  <c r="D972" i="4"/>
  <c r="D973" i="4"/>
  <c r="D974" i="4"/>
  <c r="D975" i="4"/>
  <c r="D976" i="4"/>
  <c r="D977" i="4"/>
  <c r="D978" i="4"/>
  <c r="D979" i="4"/>
  <c r="D980" i="4"/>
  <c r="D981" i="4"/>
  <c r="D982" i="4"/>
  <c r="D983" i="4"/>
  <c r="D984" i="4"/>
  <c r="D985" i="4"/>
  <c r="D986" i="4"/>
  <c r="D987" i="4"/>
  <c r="D988" i="4"/>
  <c r="D989" i="4"/>
  <c r="D990" i="4"/>
  <c r="D991" i="4"/>
  <c r="D992" i="4"/>
  <c r="D993" i="4"/>
  <c r="D994" i="4"/>
  <c r="D995" i="4"/>
  <c r="D996" i="4"/>
  <c r="D997" i="4"/>
  <c r="D998" i="4"/>
  <c r="D999" i="4"/>
  <c r="D1000" i="4"/>
  <c r="C70" i="5"/>
  <c r="C71" i="5"/>
  <c r="C72" i="5"/>
  <c r="C73" i="5"/>
  <c r="C74" i="5"/>
  <c r="C75" i="5"/>
  <c r="C76" i="5"/>
  <c r="C77" i="5"/>
  <c r="C78" i="5"/>
  <c r="C79" i="5"/>
  <c r="C80" i="5"/>
  <c r="C81" i="5"/>
  <c r="C82" i="5"/>
  <c r="C83" i="5"/>
  <c r="C84" i="5"/>
  <c r="C85" i="5"/>
  <c r="C86" i="5"/>
  <c r="C87" i="5"/>
  <c r="C88" i="5"/>
  <c r="C89" i="5"/>
  <c r="C90" i="5"/>
  <c r="C91" i="5"/>
  <c r="C92" i="5"/>
  <c r="C93" i="5"/>
  <c r="C94" i="5"/>
  <c r="C95" i="5"/>
  <c r="C96" i="5"/>
  <c r="C97" i="5"/>
  <c r="C98" i="5"/>
  <c r="C99" i="5"/>
  <c r="C100" i="5"/>
  <c r="C101" i="5"/>
  <c r="C102" i="5"/>
  <c r="C103" i="5"/>
  <c r="C104" i="5"/>
  <c r="C105" i="5"/>
  <c r="C106" i="5"/>
  <c r="C107" i="5"/>
  <c r="C108" i="5"/>
  <c r="C109" i="5"/>
  <c r="C110" i="5"/>
  <c r="C111" i="5"/>
  <c r="C112" i="5"/>
  <c r="C113" i="5"/>
  <c r="C114" i="5"/>
  <c r="C115" i="5"/>
  <c r="C116" i="5"/>
  <c r="C117" i="5"/>
  <c r="C118" i="5"/>
  <c r="C119" i="5"/>
  <c r="C120" i="5"/>
  <c r="C121" i="5"/>
  <c r="C122" i="5"/>
  <c r="C123" i="5"/>
  <c r="C124" i="5"/>
  <c r="C125" i="5"/>
  <c r="C126" i="5"/>
  <c r="C127" i="5"/>
  <c r="C128" i="5"/>
  <c r="C129" i="5"/>
  <c r="C130" i="5"/>
  <c r="C131" i="5"/>
  <c r="C132" i="5"/>
  <c r="C133" i="5"/>
  <c r="C134" i="5"/>
  <c r="C135" i="5"/>
  <c r="C136" i="5"/>
  <c r="C137" i="5"/>
  <c r="C138" i="5"/>
  <c r="C139" i="5"/>
  <c r="C140" i="5"/>
  <c r="C141" i="5"/>
  <c r="C142" i="5"/>
  <c r="C143" i="5"/>
  <c r="C144" i="5"/>
  <c r="C145" i="5"/>
  <c r="C146" i="5"/>
  <c r="C147" i="5"/>
  <c r="C148" i="5"/>
  <c r="C149" i="5"/>
  <c r="C150" i="5"/>
  <c r="C151" i="5"/>
  <c r="C152" i="5"/>
  <c r="C153" i="5"/>
  <c r="C154" i="5"/>
  <c r="C155" i="5"/>
  <c r="C156" i="5"/>
  <c r="C157" i="5"/>
  <c r="C158" i="5"/>
  <c r="C159" i="5"/>
  <c r="C160" i="5"/>
  <c r="C161" i="5"/>
  <c r="C162" i="5"/>
  <c r="C163" i="5"/>
  <c r="C164" i="5"/>
  <c r="C165" i="5"/>
  <c r="C166" i="5"/>
  <c r="C167" i="5"/>
  <c r="C168" i="5"/>
  <c r="C169" i="5"/>
  <c r="C170" i="5"/>
  <c r="C171" i="5"/>
  <c r="C172" i="5"/>
  <c r="C173" i="5"/>
  <c r="C174" i="5"/>
  <c r="C175" i="5"/>
  <c r="C176" i="5"/>
  <c r="C177" i="5"/>
  <c r="C178" i="5"/>
  <c r="C179" i="5"/>
  <c r="C180" i="5"/>
  <c r="C181" i="5"/>
  <c r="C182" i="5"/>
  <c r="C183" i="5"/>
  <c r="C184" i="5"/>
  <c r="C185" i="5"/>
  <c r="C186" i="5"/>
  <c r="C187" i="5"/>
  <c r="C188" i="5"/>
  <c r="C189" i="5"/>
  <c r="C190" i="5"/>
  <c r="C191" i="5"/>
  <c r="C192" i="5"/>
  <c r="C193" i="5"/>
  <c r="C194" i="5"/>
  <c r="C195" i="5"/>
  <c r="C196" i="5"/>
  <c r="C197" i="5"/>
  <c r="C198" i="5"/>
  <c r="C199" i="5"/>
  <c r="C200" i="5"/>
  <c r="C201" i="5"/>
  <c r="C202" i="5"/>
  <c r="C203" i="5"/>
  <c r="C204" i="5"/>
  <c r="C205" i="5"/>
  <c r="C206" i="5"/>
  <c r="C207" i="5"/>
  <c r="C208" i="5"/>
  <c r="C209" i="5"/>
  <c r="C210" i="5"/>
  <c r="C211" i="5"/>
  <c r="C212" i="5"/>
  <c r="C213" i="5"/>
  <c r="C214" i="5"/>
  <c r="C215" i="5"/>
  <c r="C216" i="5"/>
  <c r="C217" i="5"/>
  <c r="C218" i="5"/>
  <c r="C219" i="5"/>
  <c r="C220" i="5"/>
  <c r="C221" i="5"/>
  <c r="C222" i="5"/>
  <c r="C223" i="5"/>
  <c r="C224" i="5"/>
  <c r="C225" i="5"/>
  <c r="C226" i="5"/>
  <c r="C227" i="5"/>
  <c r="C228" i="5"/>
  <c r="C229" i="5"/>
  <c r="C230" i="5"/>
  <c r="C231" i="5"/>
  <c r="C232" i="5"/>
  <c r="C233" i="5"/>
  <c r="C234" i="5"/>
  <c r="C235" i="5"/>
  <c r="C236" i="5"/>
  <c r="C237" i="5"/>
  <c r="C238" i="5"/>
  <c r="C239" i="5"/>
  <c r="C240" i="5"/>
  <c r="C241" i="5"/>
  <c r="C242" i="5"/>
  <c r="C243" i="5"/>
  <c r="C244" i="5"/>
  <c r="C245" i="5"/>
  <c r="C246" i="5"/>
  <c r="C247" i="5"/>
  <c r="C248" i="5"/>
  <c r="C249" i="5"/>
  <c r="C250" i="5"/>
  <c r="C251" i="5"/>
  <c r="C252" i="5"/>
  <c r="C253" i="5"/>
  <c r="C254" i="5"/>
  <c r="C255" i="5"/>
  <c r="C256" i="5"/>
  <c r="C257" i="5"/>
  <c r="C258" i="5"/>
  <c r="C259" i="5"/>
  <c r="C260" i="5"/>
  <c r="C261" i="5"/>
  <c r="C262" i="5"/>
  <c r="C263" i="5"/>
  <c r="C264" i="5"/>
  <c r="C265" i="5"/>
  <c r="C266" i="5"/>
  <c r="C267" i="5"/>
  <c r="C268" i="5"/>
  <c r="C269" i="5"/>
  <c r="C270" i="5"/>
  <c r="C271" i="5"/>
  <c r="C272" i="5"/>
  <c r="C273" i="5"/>
  <c r="C274" i="5"/>
  <c r="C275" i="5"/>
  <c r="C276" i="5"/>
  <c r="C277" i="5"/>
  <c r="C278" i="5"/>
  <c r="C279" i="5"/>
  <c r="C280" i="5"/>
  <c r="C281" i="5"/>
  <c r="C282" i="5"/>
  <c r="C283" i="5"/>
  <c r="C284" i="5"/>
  <c r="C285" i="5"/>
  <c r="C286" i="5"/>
  <c r="C287" i="5"/>
  <c r="C288" i="5"/>
  <c r="C289" i="5"/>
  <c r="C290" i="5"/>
  <c r="C291" i="5"/>
  <c r="C292" i="5"/>
  <c r="C293" i="5"/>
  <c r="C294" i="5"/>
  <c r="C295" i="5"/>
  <c r="C296" i="5"/>
  <c r="C297" i="5"/>
  <c r="C298" i="5"/>
  <c r="C299" i="5"/>
  <c r="C300" i="5"/>
  <c r="C301" i="5"/>
  <c r="C302" i="5"/>
  <c r="C303" i="5"/>
  <c r="C304" i="5"/>
  <c r="C305" i="5"/>
  <c r="C306" i="5"/>
  <c r="C307" i="5"/>
  <c r="C308" i="5"/>
  <c r="C309" i="5"/>
  <c r="C310" i="5"/>
  <c r="C311" i="5"/>
  <c r="C312" i="5"/>
  <c r="C313" i="5"/>
  <c r="C314" i="5"/>
  <c r="C315" i="5"/>
  <c r="C316" i="5"/>
  <c r="C317" i="5"/>
  <c r="C318" i="5"/>
  <c r="C319" i="5"/>
  <c r="C320" i="5"/>
  <c r="C321" i="5"/>
  <c r="C322" i="5"/>
  <c r="C323" i="5"/>
  <c r="C324" i="5"/>
  <c r="C325" i="5"/>
  <c r="C326" i="5"/>
  <c r="C327" i="5"/>
  <c r="C328" i="5"/>
  <c r="C329" i="5"/>
  <c r="C330" i="5"/>
  <c r="C331" i="5"/>
  <c r="C332" i="5"/>
  <c r="C333" i="5"/>
  <c r="C334" i="5"/>
  <c r="C335" i="5"/>
  <c r="C336" i="5"/>
  <c r="C337" i="5"/>
  <c r="C338" i="5"/>
  <c r="C339" i="5"/>
  <c r="C340" i="5"/>
  <c r="C341" i="5"/>
  <c r="C342" i="5"/>
  <c r="C343" i="5"/>
  <c r="C344" i="5"/>
  <c r="C345" i="5"/>
  <c r="C346" i="5"/>
  <c r="C347" i="5"/>
  <c r="C348" i="5"/>
  <c r="C349" i="5"/>
  <c r="C350" i="5"/>
  <c r="C351" i="5"/>
  <c r="C352" i="5"/>
  <c r="C353" i="5"/>
  <c r="C354" i="5"/>
  <c r="C355" i="5"/>
  <c r="C356" i="5"/>
  <c r="C357" i="5"/>
  <c r="C358" i="5"/>
  <c r="C359" i="5"/>
  <c r="C360" i="5"/>
  <c r="C361" i="5"/>
  <c r="C362" i="5"/>
  <c r="C363" i="5"/>
  <c r="C364" i="5"/>
  <c r="C365" i="5"/>
  <c r="C366" i="5"/>
  <c r="C367" i="5"/>
  <c r="C368" i="5"/>
  <c r="C369" i="5"/>
  <c r="C370" i="5"/>
  <c r="C371" i="5"/>
  <c r="C372" i="5"/>
  <c r="C373" i="5"/>
  <c r="C374" i="5"/>
  <c r="C375" i="5"/>
  <c r="C376" i="5"/>
  <c r="C377" i="5"/>
  <c r="C378" i="5"/>
  <c r="C379" i="5"/>
  <c r="C380" i="5"/>
  <c r="C381" i="5"/>
  <c r="C382" i="5"/>
  <c r="C383" i="5"/>
  <c r="C384" i="5"/>
  <c r="C385" i="5"/>
  <c r="C386" i="5"/>
  <c r="C387" i="5"/>
  <c r="C388" i="5"/>
  <c r="C389" i="5"/>
  <c r="C390" i="5"/>
  <c r="C391" i="5"/>
  <c r="C392" i="5"/>
  <c r="C393" i="5"/>
  <c r="C394" i="5"/>
  <c r="C395" i="5"/>
  <c r="C396" i="5"/>
  <c r="C397" i="5"/>
  <c r="C398" i="5"/>
  <c r="C399" i="5"/>
  <c r="C400" i="5"/>
  <c r="C401" i="5"/>
  <c r="C402" i="5"/>
  <c r="C403" i="5"/>
  <c r="C404" i="5"/>
  <c r="C405" i="5"/>
  <c r="C406" i="5"/>
  <c r="C407" i="5"/>
  <c r="C408" i="5"/>
  <c r="C409" i="5"/>
  <c r="C410" i="5"/>
  <c r="C411" i="5"/>
  <c r="C412" i="5"/>
  <c r="C413" i="5"/>
  <c r="C414" i="5"/>
  <c r="C415" i="5"/>
  <c r="C416" i="5"/>
  <c r="C417" i="5"/>
  <c r="C418" i="5"/>
  <c r="C419" i="5"/>
  <c r="C420" i="5"/>
  <c r="C421" i="5"/>
  <c r="C422" i="5"/>
  <c r="C423" i="5"/>
  <c r="C424" i="5"/>
  <c r="C425" i="5"/>
  <c r="C426" i="5"/>
  <c r="C427" i="5"/>
  <c r="C428" i="5"/>
  <c r="C429" i="5"/>
  <c r="C430" i="5"/>
  <c r="C431" i="5"/>
  <c r="C432" i="5"/>
  <c r="C433" i="5"/>
  <c r="C434" i="5"/>
  <c r="C435" i="5"/>
  <c r="C436" i="5"/>
  <c r="C437" i="5"/>
  <c r="C438" i="5"/>
  <c r="C439" i="5"/>
  <c r="C440" i="5"/>
  <c r="C441" i="5"/>
  <c r="C442" i="5"/>
  <c r="C443" i="5"/>
  <c r="C444" i="5"/>
  <c r="C445" i="5"/>
  <c r="C446" i="5"/>
  <c r="C447" i="5"/>
  <c r="C448" i="5"/>
  <c r="C449" i="5"/>
  <c r="C450" i="5"/>
  <c r="C451" i="5"/>
  <c r="C452" i="5"/>
  <c r="C453" i="5"/>
  <c r="C454" i="5"/>
  <c r="C455" i="5"/>
  <c r="C456" i="5"/>
  <c r="C457" i="5"/>
  <c r="C458" i="5"/>
  <c r="C459" i="5"/>
  <c r="C460" i="5"/>
  <c r="C461" i="5"/>
  <c r="C462" i="5"/>
  <c r="C463" i="5"/>
  <c r="C464" i="5"/>
  <c r="C465" i="5"/>
  <c r="C466" i="5"/>
  <c r="C467" i="5"/>
  <c r="C468" i="5"/>
  <c r="C469" i="5"/>
  <c r="C470" i="5"/>
  <c r="C471" i="5"/>
  <c r="C472" i="5"/>
  <c r="C473" i="5"/>
  <c r="C474" i="5"/>
  <c r="C475" i="5"/>
  <c r="C476" i="5"/>
  <c r="C477" i="5"/>
  <c r="C478" i="5"/>
  <c r="C479" i="5"/>
  <c r="C480" i="5"/>
  <c r="C481" i="5"/>
  <c r="C482" i="5"/>
  <c r="C483" i="5"/>
  <c r="C484" i="5"/>
  <c r="C485" i="5"/>
  <c r="C486" i="5"/>
  <c r="C487" i="5"/>
  <c r="C488" i="5"/>
  <c r="C489" i="5"/>
  <c r="C490" i="5"/>
  <c r="C491" i="5"/>
  <c r="C492" i="5"/>
  <c r="C493" i="5"/>
  <c r="C494" i="5"/>
  <c r="C495" i="5"/>
  <c r="C496" i="5"/>
  <c r="C497" i="5"/>
  <c r="C498" i="5"/>
  <c r="C499" i="5"/>
  <c r="C500" i="5"/>
  <c r="C501" i="5"/>
  <c r="C502" i="5"/>
  <c r="C503" i="5"/>
  <c r="C504" i="5"/>
  <c r="C505" i="5"/>
  <c r="C506" i="5"/>
  <c r="C507" i="5"/>
  <c r="C508" i="5"/>
  <c r="C509" i="5"/>
  <c r="C510" i="5"/>
  <c r="C511" i="5"/>
  <c r="C512" i="5"/>
  <c r="C513" i="5"/>
  <c r="C514" i="5"/>
  <c r="C515" i="5"/>
  <c r="C516" i="5"/>
  <c r="C517" i="5"/>
  <c r="C518" i="5"/>
  <c r="C519" i="5"/>
  <c r="C520" i="5"/>
  <c r="C521" i="5"/>
  <c r="C522" i="5"/>
  <c r="C523" i="5"/>
  <c r="C524" i="5"/>
  <c r="C525" i="5"/>
  <c r="C526" i="5"/>
  <c r="C527" i="5"/>
  <c r="C528" i="5"/>
  <c r="C529" i="5"/>
  <c r="C530" i="5"/>
  <c r="C531" i="5"/>
  <c r="C532" i="5"/>
  <c r="C533" i="5"/>
  <c r="C534" i="5"/>
  <c r="C535" i="5"/>
  <c r="C536" i="5"/>
  <c r="C537" i="5"/>
  <c r="C538" i="5"/>
  <c r="C539" i="5"/>
  <c r="C540" i="5"/>
  <c r="C541" i="5"/>
  <c r="C542" i="5"/>
  <c r="C543" i="5"/>
  <c r="C544" i="5"/>
  <c r="C545" i="5"/>
  <c r="C546" i="5"/>
  <c r="C547" i="5"/>
  <c r="C548" i="5"/>
  <c r="C549" i="5"/>
  <c r="C550" i="5"/>
  <c r="C551" i="5"/>
  <c r="C552" i="5"/>
  <c r="C553" i="5"/>
  <c r="C554" i="5"/>
  <c r="C555" i="5"/>
  <c r="C556" i="5"/>
  <c r="C557" i="5"/>
  <c r="C558" i="5"/>
  <c r="C559" i="5"/>
  <c r="C560" i="5"/>
  <c r="C561" i="5"/>
  <c r="C562" i="5"/>
  <c r="C563" i="5"/>
  <c r="C564" i="5"/>
  <c r="C565" i="5"/>
  <c r="C566" i="5"/>
  <c r="C567" i="5"/>
  <c r="C568" i="5"/>
  <c r="C569" i="5"/>
  <c r="C570" i="5"/>
  <c r="C571" i="5"/>
  <c r="C572" i="5"/>
  <c r="C573" i="5"/>
  <c r="C574" i="5"/>
  <c r="C575" i="5"/>
  <c r="C576" i="5"/>
  <c r="C577" i="5"/>
  <c r="C578" i="5"/>
  <c r="C579" i="5"/>
  <c r="C580" i="5"/>
  <c r="C581" i="5"/>
  <c r="C582" i="5"/>
  <c r="C583" i="5"/>
  <c r="C584" i="5"/>
  <c r="C585" i="5"/>
  <c r="C586" i="5"/>
  <c r="C587" i="5"/>
  <c r="C588" i="5"/>
  <c r="C589" i="5"/>
  <c r="C590" i="5"/>
  <c r="C591" i="5"/>
  <c r="C592" i="5"/>
  <c r="C593" i="5"/>
  <c r="C594" i="5"/>
  <c r="C595" i="5"/>
  <c r="C596" i="5"/>
  <c r="C597" i="5"/>
  <c r="C598" i="5"/>
  <c r="C599" i="5"/>
  <c r="C600" i="5"/>
  <c r="C601" i="5"/>
  <c r="C602" i="5"/>
  <c r="C603" i="5"/>
  <c r="C604" i="5"/>
  <c r="C605" i="5"/>
  <c r="C606" i="5"/>
  <c r="C607" i="5"/>
  <c r="C608" i="5"/>
  <c r="C609" i="5"/>
  <c r="C610" i="5"/>
  <c r="C611" i="5"/>
  <c r="C612" i="5"/>
  <c r="C613" i="5"/>
  <c r="C614" i="5"/>
  <c r="C615" i="5"/>
  <c r="C616" i="5"/>
  <c r="C617" i="5"/>
  <c r="C618" i="5"/>
  <c r="C619" i="5"/>
  <c r="C620" i="5"/>
  <c r="C621" i="5"/>
  <c r="C622" i="5"/>
  <c r="C623" i="5"/>
  <c r="C624" i="5"/>
  <c r="C625" i="5"/>
  <c r="C626" i="5"/>
  <c r="C627" i="5"/>
  <c r="C628" i="5"/>
  <c r="C629" i="5"/>
  <c r="C630" i="5"/>
  <c r="C631" i="5"/>
  <c r="C632" i="5"/>
  <c r="C633" i="5"/>
  <c r="C634" i="5"/>
  <c r="C635" i="5"/>
  <c r="C636" i="5"/>
  <c r="C637" i="5"/>
  <c r="C638" i="5"/>
  <c r="C639" i="5"/>
  <c r="C640" i="5"/>
  <c r="C641" i="5"/>
  <c r="C642" i="5"/>
  <c r="C643" i="5"/>
  <c r="C644" i="5"/>
  <c r="C645" i="5"/>
  <c r="C646" i="5"/>
  <c r="C647" i="5"/>
  <c r="C648" i="5"/>
  <c r="C649" i="5"/>
  <c r="C650" i="5"/>
  <c r="C651" i="5"/>
  <c r="C652" i="5"/>
  <c r="C653" i="5"/>
  <c r="C654" i="5"/>
  <c r="C655" i="5"/>
  <c r="C656" i="5"/>
  <c r="C657" i="5"/>
  <c r="C658" i="5"/>
  <c r="C659" i="5"/>
  <c r="C660" i="5"/>
  <c r="C661" i="5"/>
  <c r="C662" i="5"/>
  <c r="C663" i="5"/>
  <c r="C664" i="5"/>
  <c r="C665" i="5"/>
  <c r="C666" i="5"/>
  <c r="C667" i="5"/>
  <c r="C668" i="5"/>
  <c r="C669" i="5"/>
  <c r="C670" i="5"/>
  <c r="C671" i="5"/>
  <c r="C672" i="5"/>
  <c r="C673" i="5"/>
  <c r="C674" i="5"/>
  <c r="C675" i="5"/>
  <c r="C676" i="5"/>
  <c r="C677" i="5"/>
  <c r="C678" i="5"/>
  <c r="C679" i="5"/>
  <c r="C680" i="5"/>
  <c r="C681" i="5"/>
  <c r="C682" i="5"/>
  <c r="C683" i="5"/>
  <c r="C684" i="5"/>
  <c r="C685" i="5"/>
  <c r="C686" i="5"/>
  <c r="C687" i="5"/>
  <c r="C688" i="5"/>
  <c r="C689" i="5"/>
  <c r="C690" i="5"/>
  <c r="C691" i="5"/>
  <c r="C692" i="5"/>
  <c r="C693" i="5"/>
  <c r="C694" i="5"/>
  <c r="C695" i="5"/>
  <c r="C696" i="5"/>
  <c r="C697" i="5"/>
  <c r="C698" i="5"/>
  <c r="C699" i="5"/>
  <c r="C700" i="5"/>
  <c r="C701" i="5"/>
  <c r="C702" i="5"/>
  <c r="C703" i="5"/>
  <c r="C704" i="5"/>
  <c r="C705" i="5"/>
  <c r="C706" i="5"/>
  <c r="C707" i="5"/>
  <c r="C708" i="5"/>
  <c r="C709" i="5"/>
  <c r="C710" i="5"/>
  <c r="C711" i="5"/>
  <c r="C712" i="5"/>
  <c r="C713" i="5"/>
  <c r="C714" i="5"/>
  <c r="C715" i="5"/>
  <c r="C716" i="5"/>
  <c r="C717" i="5"/>
  <c r="C718" i="5"/>
  <c r="C719" i="5"/>
  <c r="C720" i="5"/>
  <c r="C721" i="5"/>
  <c r="C722" i="5"/>
  <c r="C723" i="5"/>
  <c r="C724" i="5"/>
  <c r="C725" i="5"/>
  <c r="C726" i="5"/>
  <c r="C727" i="5"/>
  <c r="C728" i="5"/>
  <c r="C729" i="5"/>
  <c r="C730" i="5"/>
  <c r="C731" i="5"/>
  <c r="C732" i="5"/>
  <c r="C733" i="5"/>
  <c r="C734" i="5"/>
  <c r="C735" i="5"/>
  <c r="C736" i="5"/>
  <c r="C737" i="5"/>
  <c r="C738" i="5"/>
  <c r="C739" i="5"/>
  <c r="C740" i="5"/>
  <c r="C741" i="5"/>
  <c r="C742" i="5"/>
  <c r="C743" i="5"/>
  <c r="C744" i="5"/>
  <c r="C745" i="5"/>
  <c r="C746" i="5"/>
  <c r="C747" i="5"/>
  <c r="C748" i="5"/>
  <c r="C749" i="5"/>
  <c r="C750" i="5"/>
  <c r="C751" i="5"/>
  <c r="C752" i="5"/>
  <c r="C753" i="5"/>
  <c r="C754" i="5"/>
  <c r="C755" i="5"/>
  <c r="C756" i="5"/>
  <c r="C757" i="5"/>
  <c r="C758" i="5"/>
  <c r="C759" i="5"/>
  <c r="C760" i="5"/>
  <c r="C761" i="5"/>
  <c r="C762" i="5"/>
  <c r="C763" i="5"/>
  <c r="C764" i="5"/>
  <c r="C765" i="5"/>
  <c r="C766" i="5"/>
  <c r="C767" i="5"/>
  <c r="C768" i="5"/>
  <c r="C769" i="5"/>
  <c r="C770" i="5"/>
  <c r="C771" i="5"/>
  <c r="C772" i="5"/>
  <c r="C773" i="5"/>
  <c r="C774" i="5"/>
  <c r="C775" i="5"/>
  <c r="C776" i="5"/>
  <c r="C777" i="5"/>
  <c r="C778" i="5"/>
  <c r="C779" i="5"/>
  <c r="C780" i="5"/>
  <c r="C781" i="5"/>
  <c r="C782" i="5"/>
  <c r="C783" i="5"/>
  <c r="C784" i="5"/>
  <c r="C785" i="5"/>
  <c r="C786" i="5"/>
  <c r="C787" i="5"/>
  <c r="C788" i="5"/>
  <c r="C789" i="5"/>
  <c r="C790" i="5"/>
  <c r="C791" i="5"/>
  <c r="C792" i="5"/>
  <c r="C793" i="5"/>
  <c r="C794" i="5"/>
  <c r="C795" i="5"/>
  <c r="C796" i="5"/>
  <c r="C797" i="5"/>
  <c r="C798" i="5"/>
  <c r="C799" i="5"/>
  <c r="C800" i="5"/>
  <c r="C801" i="5"/>
  <c r="C802" i="5"/>
  <c r="C803" i="5"/>
  <c r="C804" i="5"/>
  <c r="C805" i="5"/>
  <c r="C806" i="5"/>
  <c r="C807" i="5"/>
  <c r="C808" i="5"/>
  <c r="C809" i="5"/>
  <c r="C810" i="5"/>
  <c r="C811" i="5"/>
  <c r="C812" i="5"/>
  <c r="C813" i="5"/>
  <c r="C814" i="5"/>
  <c r="C815" i="5"/>
  <c r="C816" i="5"/>
  <c r="C817" i="5"/>
  <c r="C818" i="5"/>
  <c r="C819" i="5"/>
  <c r="C820" i="5"/>
  <c r="C821" i="5"/>
  <c r="C822" i="5"/>
  <c r="C823" i="5"/>
  <c r="C824" i="5"/>
  <c r="C825" i="5"/>
  <c r="C826" i="5"/>
  <c r="C827" i="5"/>
  <c r="C828" i="5"/>
  <c r="C829" i="5"/>
  <c r="C830" i="5"/>
  <c r="C831" i="5"/>
  <c r="C832" i="5"/>
  <c r="C833" i="5"/>
  <c r="C834" i="5"/>
  <c r="C835" i="5"/>
  <c r="C836" i="5"/>
  <c r="C837" i="5"/>
  <c r="C838" i="5"/>
  <c r="C839" i="5"/>
  <c r="C840" i="5"/>
  <c r="C841" i="5"/>
  <c r="C842" i="5"/>
  <c r="C843" i="5"/>
  <c r="C844" i="5"/>
  <c r="C845" i="5"/>
  <c r="C846" i="5"/>
  <c r="C847" i="5"/>
  <c r="C848" i="5"/>
  <c r="C849" i="5"/>
  <c r="C850" i="5"/>
  <c r="C851" i="5"/>
  <c r="C852" i="5"/>
  <c r="C853" i="5"/>
  <c r="C854" i="5"/>
  <c r="C855" i="5"/>
  <c r="C856" i="5"/>
  <c r="C857" i="5"/>
  <c r="C858" i="5"/>
  <c r="C859" i="5"/>
  <c r="C860" i="5"/>
  <c r="C861" i="5"/>
  <c r="C862" i="5"/>
  <c r="C863" i="5"/>
  <c r="C864" i="5"/>
  <c r="C865" i="5"/>
  <c r="C866" i="5"/>
  <c r="C867" i="5"/>
  <c r="C868" i="5"/>
  <c r="C869" i="5"/>
  <c r="C870" i="5"/>
  <c r="C871" i="5"/>
  <c r="C872" i="5"/>
  <c r="C873" i="5"/>
  <c r="C874" i="5"/>
  <c r="C875" i="5"/>
  <c r="C876" i="5"/>
  <c r="C877" i="5"/>
  <c r="C878" i="5"/>
  <c r="C879" i="5"/>
  <c r="C880" i="5"/>
  <c r="C881" i="5"/>
  <c r="C882" i="5"/>
  <c r="C883" i="5"/>
  <c r="C884" i="5"/>
  <c r="C885" i="5"/>
  <c r="C886" i="5"/>
  <c r="C887" i="5"/>
  <c r="C888" i="5"/>
  <c r="C889" i="5"/>
  <c r="C890" i="5"/>
  <c r="C891" i="5"/>
  <c r="C892" i="5"/>
  <c r="C893" i="5"/>
  <c r="C894" i="5"/>
  <c r="C895" i="5"/>
  <c r="C896" i="5"/>
  <c r="C897" i="5"/>
  <c r="C898" i="5"/>
  <c r="C899" i="5"/>
  <c r="C900" i="5"/>
  <c r="C901" i="5"/>
  <c r="C902" i="5"/>
  <c r="C903" i="5"/>
  <c r="C904" i="5"/>
  <c r="C905" i="5"/>
  <c r="C906" i="5"/>
  <c r="C907" i="5"/>
  <c r="C908" i="5"/>
  <c r="C909" i="5"/>
  <c r="C910" i="5"/>
  <c r="C911" i="5"/>
  <c r="C912" i="5"/>
  <c r="C913" i="5"/>
  <c r="C914" i="5"/>
  <c r="C915" i="5"/>
  <c r="C916" i="5"/>
  <c r="C917" i="5"/>
  <c r="C918" i="5"/>
  <c r="C919" i="5"/>
  <c r="C920" i="5"/>
  <c r="C921" i="5"/>
  <c r="C922" i="5"/>
  <c r="C923" i="5"/>
  <c r="C924" i="5"/>
  <c r="C925" i="5"/>
  <c r="C926" i="5"/>
  <c r="C927" i="5"/>
  <c r="C928" i="5"/>
  <c r="C929" i="5"/>
  <c r="C930" i="5"/>
  <c r="C931" i="5"/>
  <c r="C932" i="5"/>
  <c r="C933" i="5"/>
  <c r="C934" i="5"/>
  <c r="C935" i="5"/>
  <c r="C936" i="5"/>
  <c r="C937" i="5"/>
  <c r="C938" i="5"/>
  <c r="C939" i="5"/>
  <c r="C940" i="5"/>
  <c r="C941" i="5"/>
  <c r="C942" i="5"/>
  <c r="C943" i="5"/>
  <c r="C944" i="5"/>
  <c r="C945" i="5"/>
  <c r="C946" i="5"/>
  <c r="C947" i="5"/>
  <c r="C948" i="5"/>
  <c r="C949" i="5"/>
  <c r="C950" i="5"/>
  <c r="C951" i="5"/>
  <c r="C952" i="5"/>
  <c r="C953" i="5"/>
  <c r="C954" i="5"/>
  <c r="C955" i="5"/>
  <c r="C956" i="5"/>
  <c r="C957" i="5"/>
  <c r="C958" i="5"/>
  <c r="C959" i="5"/>
  <c r="C960" i="5"/>
  <c r="C961" i="5"/>
  <c r="C962" i="5"/>
  <c r="C963" i="5"/>
  <c r="C964" i="5"/>
  <c r="C965" i="5"/>
  <c r="C966" i="5"/>
  <c r="C967" i="5"/>
  <c r="C968" i="5"/>
  <c r="C969" i="5"/>
  <c r="C970" i="5"/>
  <c r="C971" i="5"/>
  <c r="C972" i="5"/>
  <c r="C973" i="5"/>
  <c r="C974" i="5"/>
  <c r="C975" i="5"/>
  <c r="C976" i="5"/>
  <c r="C977" i="5"/>
  <c r="C978" i="5"/>
  <c r="C979" i="5"/>
  <c r="C980" i="5"/>
  <c r="C981" i="5"/>
  <c r="C982" i="5"/>
  <c r="C983" i="5"/>
  <c r="C984" i="5"/>
  <c r="C985" i="5"/>
  <c r="C986" i="5"/>
  <c r="C987" i="5"/>
  <c r="C988" i="5"/>
  <c r="C989" i="5"/>
  <c r="C990" i="5"/>
  <c r="C991" i="5"/>
  <c r="C992" i="5"/>
  <c r="C993" i="5"/>
  <c r="C994" i="5"/>
  <c r="C995" i="5"/>
  <c r="C996" i="5"/>
  <c r="C997" i="5"/>
  <c r="C998" i="5"/>
  <c r="C999" i="5"/>
  <c r="C1000" i="5"/>
  <c r="E1000" i="5"/>
  <c r="E999" i="5"/>
  <c r="E998" i="5"/>
  <c r="E997" i="5"/>
  <c r="E996" i="5"/>
  <c r="E995" i="5"/>
  <c r="E994" i="5"/>
  <c r="E993" i="5"/>
  <c r="E992" i="5"/>
  <c r="E991" i="5"/>
  <c r="E990" i="5"/>
  <c r="E989" i="5"/>
  <c r="E988" i="5"/>
  <c r="E987" i="5"/>
  <c r="E986" i="5"/>
  <c r="E985" i="5"/>
  <c r="E984" i="5"/>
  <c r="E983" i="5"/>
  <c r="E982" i="5"/>
  <c r="E981" i="5"/>
  <c r="E980" i="5"/>
  <c r="E979" i="5"/>
  <c r="E978" i="5"/>
  <c r="E977" i="5"/>
  <c r="E976" i="5"/>
  <c r="E975" i="5"/>
  <c r="E974" i="5"/>
  <c r="E973" i="5"/>
  <c r="E972" i="5"/>
  <c r="E971" i="5"/>
  <c r="E970" i="5"/>
  <c r="E969" i="5"/>
  <c r="E968" i="5"/>
  <c r="E967" i="5"/>
  <c r="E966" i="5"/>
  <c r="E965" i="5"/>
  <c r="E964" i="5"/>
  <c r="E963" i="5"/>
  <c r="E962" i="5"/>
  <c r="E961" i="5"/>
  <c r="E960" i="5"/>
  <c r="E959" i="5"/>
  <c r="E958" i="5"/>
  <c r="E957" i="5"/>
  <c r="E956" i="5"/>
  <c r="E955" i="5"/>
  <c r="E954" i="5"/>
  <c r="E953" i="5"/>
  <c r="E952" i="5"/>
  <c r="E951" i="5"/>
  <c r="E950" i="5"/>
  <c r="E949" i="5"/>
  <c r="E948" i="5"/>
  <c r="E947" i="5"/>
  <c r="E946" i="5"/>
  <c r="E945" i="5"/>
  <c r="E944" i="5"/>
  <c r="E943" i="5"/>
  <c r="E942" i="5"/>
  <c r="E941" i="5"/>
  <c r="E940" i="5"/>
  <c r="E939" i="5"/>
  <c r="E938" i="5"/>
  <c r="E937" i="5"/>
  <c r="E936" i="5"/>
  <c r="E935" i="5"/>
  <c r="E934" i="5"/>
  <c r="E933" i="5"/>
  <c r="E932" i="5"/>
  <c r="E931" i="5"/>
  <c r="E930" i="5"/>
  <c r="E929" i="5"/>
  <c r="E928" i="5"/>
  <c r="E927" i="5"/>
  <c r="E926" i="5"/>
  <c r="E925" i="5"/>
  <c r="E924" i="5"/>
  <c r="E923" i="5"/>
  <c r="E922" i="5"/>
  <c r="E921" i="5"/>
  <c r="E920" i="5"/>
  <c r="E919" i="5"/>
  <c r="E918" i="5"/>
  <c r="E917" i="5"/>
  <c r="E916" i="5"/>
  <c r="E915" i="5"/>
  <c r="E914" i="5"/>
  <c r="E913" i="5"/>
  <c r="E912" i="5"/>
  <c r="E911" i="5"/>
  <c r="E910" i="5"/>
  <c r="E909" i="5"/>
  <c r="E908" i="5"/>
  <c r="E907" i="5"/>
  <c r="E906" i="5"/>
  <c r="E905" i="5"/>
  <c r="E904" i="5"/>
  <c r="E903" i="5"/>
  <c r="E902" i="5"/>
  <c r="E901" i="5"/>
  <c r="E900" i="5"/>
  <c r="E899" i="5"/>
  <c r="E898" i="5"/>
  <c r="E897" i="5"/>
  <c r="E896" i="5"/>
  <c r="E895" i="5"/>
  <c r="E894" i="5"/>
  <c r="E893" i="5"/>
  <c r="E892" i="5"/>
  <c r="E891" i="5"/>
  <c r="E890" i="5"/>
  <c r="E889" i="5"/>
  <c r="E888" i="5"/>
  <c r="E887" i="5"/>
  <c r="E886" i="5"/>
  <c r="E885" i="5"/>
  <c r="E884" i="5"/>
  <c r="E883" i="5"/>
  <c r="E882" i="5"/>
  <c r="E881" i="5"/>
  <c r="E880" i="5"/>
  <c r="E879" i="5"/>
  <c r="E878" i="5"/>
  <c r="E877" i="5"/>
  <c r="E876" i="5"/>
  <c r="E875" i="5"/>
  <c r="E874" i="5"/>
  <c r="E873" i="5"/>
  <c r="E872" i="5"/>
  <c r="E871" i="5"/>
  <c r="E870" i="5"/>
  <c r="E869" i="5"/>
  <c r="E868" i="5"/>
  <c r="E867" i="5"/>
  <c r="E866" i="5"/>
  <c r="E865" i="5"/>
  <c r="E864" i="5"/>
  <c r="E863" i="5"/>
  <c r="E862" i="5"/>
  <c r="E861" i="5"/>
  <c r="E860" i="5"/>
  <c r="E859" i="5"/>
  <c r="E858" i="5"/>
  <c r="E857" i="5"/>
  <c r="E856" i="5"/>
  <c r="E855" i="5"/>
  <c r="E854" i="5"/>
  <c r="E853" i="5"/>
  <c r="E852" i="5"/>
  <c r="E851" i="5"/>
  <c r="E850" i="5"/>
  <c r="E849" i="5"/>
  <c r="E848" i="5"/>
  <c r="E847" i="5"/>
  <c r="E846" i="5"/>
  <c r="E845" i="5"/>
  <c r="E844" i="5"/>
  <c r="E843" i="5"/>
  <c r="E842" i="5"/>
  <c r="E841" i="5"/>
  <c r="E840" i="5"/>
  <c r="E839" i="5"/>
  <c r="E838" i="5"/>
  <c r="E837" i="5"/>
  <c r="E836" i="5"/>
  <c r="E835" i="5"/>
  <c r="E834" i="5"/>
  <c r="E833" i="5"/>
  <c r="E832" i="5"/>
  <c r="E831" i="5"/>
  <c r="E830" i="5"/>
  <c r="E829" i="5"/>
  <c r="E828" i="5"/>
  <c r="E827" i="5"/>
  <c r="E826" i="5"/>
  <c r="E825" i="5"/>
  <c r="E824" i="5"/>
  <c r="E823" i="5"/>
  <c r="E822" i="5"/>
  <c r="E821" i="5"/>
  <c r="E820" i="5"/>
  <c r="E819" i="5"/>
  <c r="E818" i="5"/>
  <c r="E817" i="5"/>
  <c r="E816" i="5"/>
  <c r="E815" i="5"/>
  <c r="E814" i="5"/>
  <c r="E813" i="5"/>
  <c r="E812" i="5"/>
  <c r="E811" i="5"/>
  <c r="E810" i="5"/>
  <c r="E809" i="5"/>
  <c r="E808" i="5"/>
  <c r="E807" i="5"/>
  <c r="E806" i="5"/>
  <c r="E805" i="5"/>
  <c r="E804" i="5"/>
  <c r="E803" i="5"/>
  <c r="E802" i="5"/>
  <c r="E801" i="5"/>
  <c r="E800" i="5"/>
  <c r="E799" i="5"/>
  <c r="E798" i="5"/>
  <c r="E797" i="5"/>
  <c r="E796" i="5"/>
  <c r="E795" i="5"/>
  <c r="E794" i="5"/>
  <c r="E793" i="5"/>
  <c r="E792" i="5"/>
  <c r="E791" i="5"/>
  <c r="E790" i="5"/>
  <c r="E789" i="5"/>
  <c r="E788" i="5"/>
  <c r="E787" i="5"/>
  <c r="E786" i="5"/>
  <c r="E785" i="5"/>
  <c r="E784" i="5"/>
  <c r="E783" i="5"/>
  <c r="E782" i="5"/>
  <c r="E781" i="5"/>
  <c r="E780" i="5"/>
  <c r="E779" i="5"/>
  <c r="E778" i="5"/>
  <c r="E777" i="5"/>
  <c r="E776" i="5"/>
  <c r="E775" i="5"/>
  <c r="E774" i="5"/>
  <c r="E773" i="5"/>
  <c r="E772" i="5"/>
  <c r="E771" i="5"/>
  <c r="E770" i="5"/>
  <c r="E769" i="5"/>
  <c r="E768" i="5"/>
  <c r="E767" i="5"/>
  <c r="E766" i="5"/>
  <c r="E765" i="5"/>
  <c r="E764" i="5"/>
  <c r="E763" i="5"/>
  <c r="E762" i="5"/>
  <c r="E761" i="5"/>
  <c r="E760" i="5"/>
  <c r="E759" i="5"/>
  <c r="E758" i="5"/>
  <c r="E757" i="5"/>
  <c r="E756" i="5"/>
  <c r="E755" i="5"/>
  <c r="E754" i="5"/>
  <c r="E753" i="5"/>
  <c r="E752" i="5"/>
  <c r="E751" i="5"/>
  <c r="E750" i="5"/>
  <c r="E749" i="5"/>
  <c r="E748" i="5"/>
  <c r="E747" i="5"/>
  <c r="E746" i="5"/>
  <c r="E745" i="5"/>
  <c r="E744" i="5"/>
  <c r="E743" i="5"/>
  <c r="E742" i="5"/>
  <c r="E741" i="5"/>
  <c r="E740" i="5"/>
  <c r="E739" i="5"/>
  <c r="E738" i="5"/>
  <c r="E737" i="5"/>
  <c r="E736" i="5"/>
  <c r="E735" i="5"/>
  <c r="E734" i="5"/>
  <c r="E733" i="5"/>
  <c r="E732" i="5"/>
  <c r="E731" i="5"/>
  <c r="E730" i="5"/>
  <c r="E729" i="5"/>
  <c r="E728" i="5"/>
  <c r="E727" i="5"/>
  <c r="E726" i="5"/>
  <c r="E725" i="5"/>
  <c r="E724" i="5"/>
  <c r="E723" i="5"/>
  <c r="E722" i="5"/>
  <c r="E721" i="5"/>
  <c r="E720" i="5"/>
  <c r="E719" i="5"/>
  <c r="E718" i="5"/>
  <c r="E717" i="5"/>
  <c r="E716" i="5"/>
  <c r="E715" i="5"/>
  <c r="E714" i="5"/>
  <c r="E713" i="5"/>
  <c r="E712" i="5"/>
  <c r="E711" i="5"/>
  <c r="E710" i="5"/>
  <c r="E709" i="5"/>
  <c r="E708" i="5"/>
  <c r="E707" i="5"/>
  <c r="E706" i="5"/>
  <c r="E705" i="5"/>
  <c r="E704" i="5"/>
  <c r="E703" i="5"/>
  <c r="E702" i="5"/>
  <c r="E701" i="5"/>
  <c r="E700" i="5"/>
  <c r="E699" i="5"/>
  <c r="E698" i="5"/>
  <c r="E697" i="5"/>
  <c r="E696" i="5"/>
  <c r="E695" i="5"/>
  <c r="E694" i="5"/>
  <c r="E693" i="5"/>
  <c r="E692" i="5"/>
  <c r="E691" i="5"/>
  <c r="E690" i="5"/>
  <c r="E689" i="5"/>
  <c r="E688" i="5"/>
  <c r="E687" i="5"/>
  <c r="E686" i="5"/>
  <c r="E685" i="5"/>
  <c r="E684" i="5"/>
  <c r="E683" i="5"/>
  <c r="E682" i="5"/>
  <c r="E681" i="5"/>
  <c r="E680" i="5"/>
  <c r="E679" i="5"/>
  <c r="E678" i="5"/>
  <c r="E677" i="5"/>
  <c r="E676" i="5"/>
  <c r="E675" i="5"/>
  <c r="E674" i="5"/>
  <c r="E673" i="5"/>
  <c r="E672" i="5"/>
  <c r="E671" i="5"/>
  <c r="E670" i="5"/>
  <c r="E669" i="5"/>
  <c r="E668" i="5"/>
  <c r="E667" i="5"/>
  <c r="E666" i="5"/>
  <c r="E665" i="5"/>
  <c r="E664" i="5"/>
  <c r="E663" i="5"/>
  <c r="E662" i="5"/>
  <c r="E661" i="5"/>
  <c r="E660" i="5"/>
  <c r="E659" i="5"/>
  <c r="E658" i="5"/>
  <c r="E657" i="5"/>
  <c r="E656" i="5"/>
  <c r="E655" i="5"/>
  <c r="E654" i="5"/>
  <c r="E653" i="5"/>
  <c r="E652" i="5"/>
  <c r="E651" i="5"/>
  <c r="E650" i="5"/>
  <c r="E649" i="5"/>
  <c r="E648" i="5"/>
  <c r="E647" i="5"/>
  <c r="E646" i="5"/>
  <c r="E645" i="5"/>
  <c r="E644" i="5"/>
  <c r="E643" i="5"/>
  <c r="E642" i="5"/>
  <c r="E641" i="5"/>
  <c r="E640" i="5"/>
  <c r="E639" i="5"/>
  <c r="E638" i="5"/>
  <c r="E637" i="5"/>
  <c r="E636" i="5"/>
  <c r="E635" i="5"/>
  <c r="E634" i="5"/>
  <c r="E633" i="5"/>
  <c r="E632" i="5"/>
  <c r="E631" i="5"/>
  <c r="E630" i="5"/>
  <c r="E629" i="5"/>
  <c r="E628" i="5"/>
  <c r="E627" i="5"/>
  <c r="E626" i="5"/>
  <c r="E625" i="5"/>
  <c r="E624" i="5"/>
  <c r="E623" i="5"/>
  <c r="E622" i="5"/>
  <c r="E621" i="5"/>
  <c r="E620" i="5"/>
  <c r="E619" i="5"/>
  <c r="E618" i="5"/>
  <c r="E617" i="5"/>
  <c r="E616" i="5"/>
  <c r="E615" i="5"/>
  <c r="E614" i="5"/>
  <c r="E613" i="5"/>
  <c r="E612" i="5"/>
  <c r="E611" i="5"/>
  <c r="E610" i="5"/>
  <c r="E609" i="5"/>
  <c r="E608" i="5"/>
  <c r="E607" i="5"/>
  <c r="E606" i="5"/>
  <c r="E605" i="5"/>
  <c r="E604" i="5"/>
  <c r="E603" i="5"/>
  <c r="E602" i="5"/>
  <c r="E601" i="5"/>
  <c r="E600" i="5"/>
  <c r="E599" i="5"/>
  <c r="E598" i="5"/>
  <c r="E597" i="5"/>
  <c r="E596" i="5"/>
  <c r="E595" i="5"/>
  <c r="E594" i="5"/>
  <c r="E593" i="5"/>
  <c r="E592" i="5"/>
  <c r="E591" i="5"/>
  <c r="E590" i="5"/>
  <c r="E589" i="5"/>
  <c r="E588" i="5"/>
  <c r="E587" i="5"/>
  <c r="E586" i="5"/>
  <c r="E585" i="5"/>
  <c r="E584" i="5"/>
  <c r="E583" i="5"/>
  <c r="E582" i="5"/>
  <c r="E581" i="5"/>
  <c r="E580" i="5"/>
  <c r="E579" i="5"/>
  <c r="E578" i="5"/>
  <c r="E577" i="5"/>
  <c r="E576" i="5"/>
  <c r="E575" i="5"/>
  <c r="E574" i="5"/>
  <c r="E573" i="5"/>
  <c r="E572" i="5"/>
  <c r="E571" i="5"/>
  <c r="E570" i="5"/>
  <c r="E569" i="5"/>
  <c r="E568" i="5"/>
  <c r="E567" i="5"/>
  <c r="E566" i="5"/>
  <c r="E565" i="5"/>
  <c r="E564" i="5"/>
  <c r="E563" i="5"/>
  <c r="E562" i="5"/>
  <c r="E561" i="5"/>
  <c r="E560" i="5"/>
  <c r="E559" i="5"/>
  <c r="E558" i="5"/>
  <c r="E557" i="5"/>
  <c r="E556" i="5"/>
  <c r="E555" i="5"/>
  <c r="E554" i="5"/>
  <c r="E553" i="5"/>
  <c r="E552" i="5"/>
  <c r="E551" i="5"/>
  <c r="E550" i="5"/>
  <c r="E549" i="5"/>
  <c r="E548" i="5"/>
  <c r="E547" i="5"/>
  <c r="E546" i="5"/>
  <c r="E545" i="5"/>
  <c r="E544" i="5"/>
  <c r="E543" i="5"/>
  <c r="E542" i="5"/>
  <c r="E541" i="5"/>
  <c r="E540" i="5"/>
  <c r="E539" i="5"/>
  <c r="E538" i="5"/>
  <c r="E537" i="5"/>
  <c r="E536" i="5"/>
  <c r="E535" i="5"/>
  <c r="E534" i="5"/>
  <c r="E533" i="5"/>
  <c r="E532" i="5"/>
  <c r="E531" i="5"/>
  <c r="E530" i="5"/>
  <c r="E529" i="5"/>
  <c r="E528" i="5"/>
  <c r="E527" i="5"/>
  <c r="E526" i="5"/>
  <c r="E525" i="5"/>
  <c r="E524" i="5"/>
  <c r="E523" i="5"/>
  <c r="E522" i="5"/>
  <c r="E521" i="5"/>
  <c r="E520" i="5"/>
  <c r="E519" i="5"/>
  <c r="E518" i="5"/>
  <c r="E517" i="5"/>
  <c r="E516" i="5"/>
  <c r="E515" i="5"/>
  <c r="E514" i="5"/>
  <c r="E513" i="5"/>
  <c r="E512" i="5"/>
  <c r="E511" i="5"/>
  <c r="E510" i="5"/>
  <c r="E509" i="5"/>
  <c r="E508" i="5"/>
  <c r="E507" i="5"/>
  <c r="E506" i="5"/>
  <c r="E505" i="5"/>
  <c r="E504" i="5"/>
  <c r="E503" i="5"/>
  <c r="E502" i="5"/>
  <c r="E501" i="5"/>
  <c r="E500" i="5"/>
  <c r="E499" i="5"/>
  <c r="E498" i="5"/>
  <c r="E497" i="5"/>
  <c r="E496" i="5"/>
  <c r="E495" i="5"/>
  <c r="E494" i="5"/>
  <c r="E493" i="5"/>
  <c r="E492" i="5"/>
  <c r="E491" i="5"/>
  <c r="E490" i="5"/>
  <c r="E489" i="5"/>
  <c r="E488" i="5"/>
  <c r="E487" i="5"/>
  <c r="E486" i="5"/>
  <c r="E485" i="5"/>
  <c r="E484" i="5"/>
  <c r="E483" i="5"/>
  <c r="E482" i="5"/>
  <c r="E481" i="5"/>
  <c r="E480" i="5"/>
  <c r="E479" i="5"/>
  <c r="E478" i="5"/>
  <c r="E477" i="5"/>
  <c r="E476" i="5"/>
  <c r="E475" i="5"/>
  <c r="E474" i="5"/>
  <c r="E473" i="5"/>
  <c r="E472" i="5"/>
  <c r="E471" i="5"/>
  <c r="E470" i="5"/>
  <c r="E469" i="5"/>
  <c r="E468" i="5"/>
  <c r="E467" i="5"/>
  <c r="E466" i="5"/>
  <c r="E465" i="5"/>
  <c r="E464" i="5"/>
  <c r="E463" i="5"/>
  <c r="E462" i="5"/>
  <c r="E461" i="5"/>
  <c r="E460" i="5"/>
  <c r="E459" i="5"/>
  <c r="E458" i="5"/>
  <c r="E457" i="5"/>
  <c r="E456" i="5"/>
  <c r="E455" i="5"/>
  <c r="E454" i="5"/>
  <c r="E453" i="5"/>
  <c r="E452" i="5"/>
  <c r="E451" i="5"/>
  <c r="E450" i="5"/>
  <c r="E449" i="5"/>
  <c r="E448" i="5"/>
  <c r="E447" i="5"/>
  <c r="E446" i="5"/>
  <c r="E445" i="5"/>
  <c r="E444" i="5"/>
  <c r="E443" i="5"/>
  <c r="E442" i="5"/>
  <c r="E441" i="5"/>
  <c r="E440" i="5"/>
  <c r="E439" i="5"/>
  <c r="E438" i="5"/>
  <c r="E437" i="5"/>
  <c r="E436" i="5"/>
  <c r="E435" i="5"/>
  <c r="E434" i="5"/>
  <c r="E433" i="5"/>
  <c r="E432" i="5"/>
  <c r="E431" i="5"/>
  <c r="E430" i="5"/>
  <c r="E429" i="5"/>
  <c r="E428" i="5"/>
  <c r="E427" i="5"/>
  <c r="E426" i="5"/>
  <c r="E425" i="5"/>
  <c r="E424" i="5"/>
  <c r="E423" i="5"/>
  <c r="E422" i="5"/>
  <c r="E421" i="5"/>
  <c r="E420" i="5"/>
  <c r="E419" i="5"/>
  <c r="E418" i="5"/>
  <c r="E417" i="5"/>
  <c r="E416" i="5"/>
  <c r="E415" i="5"/>
  <c r="E414" i="5"/>
  <c r="E413" i="5"/>
  <c r="E412" i="5"/>
  <c r="E411" i="5"/>
  <c r="E410" i="5"/>
  <c r="E409" i="5"/>
  <c r="E408" i="5"/>
  <c r="E407" i="5"/>
  <c r="E406" i="5"/>
  <c r="E405" i="5"/>
  <c r="E404" i="5"/>
  <c r="E403" i="5"/>
  <c r="E402" i="5"/>
  <c r="E401" i="5"/>
  <c r="E400" i="5"/>
  <c r="E399" i="5"/>
  <c r="E398" i="5"/>
  <c r="E397" i="5"/>
  <c r="E396" i="5"/>
  <c r="E395" i="5"/>
  <c r="E394" i="5"/>
  <c r="E393" i="5"/>
  <c r="E392" i="5"/>
  <c r="E391" i="5"/>
  <c r="E390" i="5"/>
  <c r="E389" i="5"/>
  <c r="E388" i="5"/>
  <c r="E387" i="5"/>
  <c r="E386" i="5"/>
  <c r="E385" i="5"/>
  <c r="E384" i="5"/>
  <c r="E383" i="5"/>
  <c r="E382" i="5"/>
  <c r="E381" i="5"/>
  <c r="E380" i="5"/>
  <c r="E379" i="5"/>
  <c r="E378" i="5"/>
  <c r="E377" i="5"/>
  <c r="E376" i="5"/>
  <c r="E375" i="5"/>
  <c r="E374" i="5"/>
  <c r="E373" i="5"/>
  <c r="E372" i="5"/>
  <c r="E371" i="5"/>
  <c r="E370" i="5"/>
  <c r="E369" i="5"/>
  <c r="E368" i="5"/>
  <c r="E367" i="5"/>
  <c r="E366" i="5"/>
  <c r="E365" i="5"/>
  <c r="E364" i="5"/>
  <c r="E363" i="5"/>
  <c r="E362" i="5"/>
  <c r="E361" i="5"/>
  <c r="E360" i="5"/>
  <c r="E359" i="5"/>
  <c r="E358" i="5"/>
  <c r="E357" i="5"/>
  <c r="E356" i="5"/>
  <c r="E355" i="5"/>
  <c r="E354" i="5"/>
  <c r="E353" i="5"/>
  <c r="E352" i="5"/>
  <c r="E351" i="5"/>
  <c r="E350" i="5"/>
  <c r="E349" i="5"/>
  <c r="E348" i="5"/>
  <c r="E347" i="5"/>
  <c r="E346" i="5"/>
  <c r="E345" i="5"/>
  <c r="E344" i="5"/>
  <c r="E343" i="5"/>
  <c r="E342" i="5"/>
  <c r="E341" i="5"/>
  <c r="E340" i="5"/>
  <c r="E339" i="5"/>
  <c r="E338" i="5"/>
  <c r="E337" i="5"/>
  <c r="E336" i="5"/>
  <c r="E335" i="5"/>
  <c r="E334" i="5"/>
  <c r="E333" i="5"/>
  <c r="E332" i="5"/>
  <c r="E331" i="5"/>
  <c r="E330" i="5"/>
  <c r="E329" i="5"/>
  <c r="E328" i="5"/>
  <c r="E327" i="5"/>
  <c r="E326" i="5"/>
  <c r="E325" i="5"/>
  <c r="E324" i="5"/>
  <c r="E323" i="5"/>
  <c r="E322" i="5"/>
  <c r="E321" i="5"/>
  <c r="E320" i="5"/>
  <c r="E319" i="5"/>
  <c r="E318" i="5"/>
  <c r="E317" i="5"/>
  <c r="E316" i="5"/>
  <c r="E315" i="5"/>
  <c r="E314" i="5"/>
  <c r="E313" i="5"/>
  <c r="E312" i="5"/>
  <c r="E311" i="5"/>
  <c r="E310" i="5"/>
  <c r="E309" i="5"/>
  <c r="E308" i="5"/>
  <c r="E307" i="5"/>
  <c r="E306" i="5"/>
  <c r="E305" i="5"/>
  <c r="E304" i="5"/>
  <c r="E303" i="5"/>
  <c r="E302" i="5"/>
  <c r="E301" i="5"/>
  <c r="E300" i="5"/>
  <c r="E299" i="5"/>
  <c r="E298" i="5"/>
  <c r="E297" i="5"/>
  <c r="E296" i="5"/>
  <c r="E295" i="5"/>
  <c r="E294" i="5"/>
  <c r="E293" i="5"/>
  <c r="E292" i="5"/>
  <c r="E291" i="5"/>
  <c r="E290" i="5"/>
  <c r="E289" i="5"/>
  <c r="E288" i="5"/>
  <c r="E287" i="5"/>
  <c r="E286" i="5"/>
  <c r="E285" i="5"/>
  <c r="E284" i="5"/>
  <c r="E283" i="5"/>
  <c r="E282" i="5"/>
  <c r="E281" i="5"/>
  <c r="E280" i="5"/>
  <c r="E279" i="5"/>
  <c r="E278" i="5"/>
  <c r="E277" i="5"/>
  <c r="E276" i="5"/>
  <c r="E275" i="5"/>
  <c r="E274" i="5"/>
  <c r="E273" i="5"/>
  <c r="E272" i="5"/>
  <c r="E271" i="5"/>
  <c r="E270" i="5"/>
  <c r="E269" i="5"/>
  <c r="E268" i="5"/>
  <c r="E267" i="5"/>
  <c r="E266" i="5"/>
  <c r="E265" i="5"/>
  <c r="E264" i="5"/>
  <c r="E263" i="5"/>
  <c r="E262" i="5"/>
  <c r="E261" i="5"/>
  <c r="E260" i="5"/>
  <c r="E259" i="5"/>
  <c r="E258" i="5"/>
  <c r="E257" i="5"/>
  <c r="E256" i="5"/>
  <c r="E255" i="5"/>
  <c r="E254" i="5"/>
  <c r="E253" i="5"/>
  <c r="E252" i="5"/>
  <c r="E251" i="5"/>
  <c r="E250" i="5"/>
  <c r="E249" i="5"/>
  <c r="E248" i="5"/>
  <c r="E247" i="5"/>
  <c r="E246" i="5"/>
  <c r="E245" i="5"/>
  <c r="E244" i="5"/>
  <c r="E243" i="5"/>
  <c r="E242" i="5"/>
  <c r="E241" i="5"/>
  <c r="E240" i="5"/>
  <c r="E239" i="5"/>
  <c r="E238" i="5"/>
  <c r="E237" i="5"/>
  <c r="E236" i="5"/>
  <c r="E235" i="5"/>
  <c r="E234" i="5"/>
  <c r="E233" i="5"/>
  <c r="E232" i="5"/>
  <c r="E231" i="5"/>
  <c r="E230" i="5"/>
  <c r="E229" i="5"/>
  <c r="E228" i="5"/>
  <c r="E227" i="5"/>
  <c r="E226" i="5"/>
  <c r="E225" i="5"/>
  <c r="E224" i="5"/>
  <c r="E223" i="5"/>
  <c r="E222" i="5"/>
  <c r="E221" i="5"/>
  <c r="E220" i="5"/>
  <c r="E219" i="5"/>
  <c r="E218" i="5"/>
  <c r="E217" i="5"/>
  <c r="E216" i="5"/>
  <c r="E215" i="5"/>
  <c r="E214" i="5"/>
  <c r="E213" i="5"/>
  <c r="E212" i="5"/>
  <c r="E211" i="5"/>
  <c r="E210" i="5"/>
  <c r="E209" i="5"/>
  <c r="E208" i="5"/>
  <c r="E207" i="5"/>
  <c r="E206" i="5"/>
  <c r="E205" i="5"/>
  <c r="E204" i="5"/>
  <c r="E203" i="5"/>
  <c r="E202" i="5"/>
  <c r="E201" i="5"/>
  <c r="E200" i="5"/>
  <c r="E199" i="5"/>
  <c r="E198" i="5"/>
  <c r="E197" i="5"/>
  <c r="E196" i="5"/>
  <c r="E195" i="5"/>
  <c r="E194" i="5"/>
  <c r="E193" i="5"/>
  <c r="E192" i="5"/>
  <c r="E191" i="5"/>
  <c r="E190" i="5"/>
  <c r="E189" i="5"/>
  <c r="E188" i="5"/>
  <c r="E187" i="5"/>
  <c r="E186" i="5"/>
  <c r="E185" i="5"/>
  <c r="E184" i="5"/>
  <c r="E183" i="5"/>
  <c r="E182" i="5"/>
  <c r="E181" i="5"/>
  <c r="E180" i="5"/>
  <c r="E179" i="5"/>
  <c r="E178" i="5"/>
  <c r="E177" i="5"/>
  <c r="E176" i="5"/>
  <c r="E175" i="5"/>
  <c r="E174" i="5"/>
  <c r="E173" i="5"/>
  <c r="E172" i="5"/>
  <c r="E171" i="5"/>
  <c r="E170" i="5"/>
  <c r="E169" i="5"/>
  <c r="E168" i="5"/>
  <c r="E167" i="5"/>
  <c r="E166" i="5"/>
  <c r="E165" i="5"/>
  <c r="E164" i="5"/>
  <c r="E163" i="5"/>
  <c r="E162" i="5"/>
  <c r="E161" i="5"/>
  <c r="E160" i="5"/>
  <c r="E159" i="5"/>
  <c r="E158" i="5"/>
  <c r="E157" i="5"/>
  <c r="E156" i="5"/>
  <c r="E155" i="5"/>
  <c r="E154" i="5"/>
  <c r="E153" i="5"/>
  <c r="E152" i="5"/>
  <c r="E151" i="5"/>
  <c r="E150" i="5"/>
  <c r="E149" i="5"/>
  <c r="E148" i="5"/>
  <c r="E147" i="5"/>
  <c r="E146" i="5"/>
  <c r="E145" i="5"/>
  <c r="E144" i="5"/>
  <c r="E143" i="5"/>
  <c r="E142" i="5"/>
  <c r="E141" i="5"/>
  <c r="E140" i="5"/>
  <c r="E139" i="5"/>
  <c r="E138" i="5"/>
  <c r="E137" i="5"/>
  <c r="E136" i="5"/>
  <c r="E135" i="5"/>
  <c r="E134" i="5"/>
  <c r="E133" i="5"/>
  <c r="E132" i="5"/>
  <c r="E131" i="5"/>
  <c r="E130" i="5"/>
  <c r="E129" i="5"/>
  <c r="E128" i="5"/>
  <c r="E127" i="5"/>
  <c r="E126" i="5"/>
  <c r="E125" i="5"/>
  <c r="E124" i="5"/>
  <c r="E123" i="5"/>
  <c r="E122" i="5"/>
  <c r="E121" i="5"/>
  <c r="E120" i="5"/>
  <c r="E119" i="5"/>
  <c r="E118" i="5"/>
  <c r="E117" i="5"/>
  <c r="E116" i="5"/>
  <c r="E115" i="5"/>
  <c r="E114" i="5"/>
  <c r="E113" i="5"/>
  <c r="E112" i="5"/>
  <c r="E111" i="5"/>
  <c r="E110" i="5"/>
  <c r="E109" i="5"/>
  <c r="E108" i="5"/>
  <c r="E107" i="5"/>
  <c r="E106" i="5"/>
  <c r="E105" i="5"/>
  <c r="E104" i="5"/>
  <c r="E103" i="5"/>
  <c r="E102" i="5"/>
  <c r="E101" i="5"/>
  <c r="E100" i="5"/>
  <c r="E99" i="5"/>
  <c r="E98" i="5"/>
  <c r="E97" i="5"/>
  <c r="E96" i="5"/>
  <c r="E95" i="5"/>
  <c r="E94" i="5"/>
  <c r="E93" i="5"/>
  <c r="E92" i="5"/>
  <c r="E91" i="5"/>
  <c r="E90" i="5"/>
  <c r="E89" i="5"/>
  <c r="E88" i="5"/>
  <c r="E87" i="5"/>
  <c r="E86" i="5"/>
  <c r="E85" i="5"/>
  <c r="E84" i="5"/>
  <c r="E83" i="5"/>
  <c r="E82" i="5"/>
  <c r="E81" i="5"/>
  <c r="E80" i="5"/>
  <c r="E79" i="5"/>
  <c r="E78" i="5"/>
  <c r="E77" i="5"/>
  <c r="E76" i="5"/>
  <c r="E75" i="5"/>
  <c r="E74" i="5"/>
  <c r="E73" i="5"/>
  <c r="E72" i="5"/>
  <c r="E71" i="5"/>
  <c r="E70" i="5"/>
  <c r="B7" i="5" l="1"/>
  <c r="B9" i="5"/>
  <c r="B8" i="5"/>
  <c r="B6" i="5"/>
  <c r="C7" i="5"/>
  <c r="E7" i="5" s="1"/>
  <c r="C34" i="5"/>
  <c r="C68" i="5"/>
  <c r="E68" i="5" s="1"/>
  <c r="C69" i="5"/>
  <c r="E69" i="5" s="1"/>
  <c r="C67" i="5"/>
  <c r="E67" i="5" s="1"/>
  <c r="C66" i="5"/>
  <c r="E66" i="5" s="1"/>
  <c r="C65" i="5"/>
  <c r="E65" i="5" s="1"/>
  <c r="C64" i="5"/>
  <c r="E64" i="5" s="1"/>
  <c r="C63" i="5"/>
  <c r="E63" i="5" s="1"/>
  <c r="C62" i="5"/>
  <c r="E62" i="5" s="1"/>
  <c r="C61" i="5"/>
  <c r="E61" i="5" s="1"/>
  <c r="C60" i="5"/>
  <c r="E60" i="5" s="1"/>
  <c r="C59" i="5"/>
  <c r="E59" i="5" s="1"/>
  <c r="C58" i="5"/>
  <c r="E58" i="5" s="1"/>
  <c r="C57" i="5"/>
  <c r="E57" i="5" s="1"/>
  <c r="C56" i="5"/>
  <c r="E56" i="5" s="1"/>
  <c r="C55" i="5"/>
  <c r="E55" i="5" s="1"/>
  <c r="C54" i="5"/>
  <c r="E54" i="5" s="1"/>
  <c r="C53" i="5"/>
  <c r="E53" i="5" s="1"/>
  <c r="C52" i="5"/>
  <c r="E52" i="5" s="1"/>
  <c r="C51" i="5"/>
  <c r="E51" i="5" s="1"/>
  <c r="C50" i="5"/>
  <c r="E50" i="5" s="1"/>
  <c r="C49" i="5"/>
  <c r="E49" i="5" s="1"/>
  <c r="C48" i="5"/>
  <c r="E48" i="5" s="1"/>
  <c r="C47" i="5"/>
  <c r="E47" i="5" s="1"/>
  <c r="C46" i="5"/>
  <c r="E46" i="5" s="1"/>
  <c r="C45" i="5"/>
  <c r="E45" i="5" s="1"/>
  <c r="C44" i="5"/>
  <c r="E44" i="5" s="1"/>
  <c r="C43" i="5"/>
  <c r="E43" i="5" s="1"/>
  <c r="C42" i="5"/>
  <c r="E42" i="5" s="1"/>
  <c r="C41" i="5"/>
  <c r="E41" i="5" s="1"/>
  <c r="C40" i="5"/>
  <c r="E40" i="5" s="1"/>
  <c r="C39" i="5"/>
  <c r="E39" i="5" s="1"/>
  <c r="C38" i="5"/>
  <c r="E38" i="5" s="1"/>
  <c r="C37" i="5"/>
  <c r="E37" i="5" s="1"/>
  <c r="C36" i="5"/>
  <c r="E36" i="5" s="1"/>
  <c r="C35" i="5"/>
  <c r="E35" i="5" s="1"/>
  <c r="E34" i="5"/>
  <c r="C33" i="5"/>
  <c r="E33" i="5" s="1"/>
  <c r="C32" i="5"/>
  <c r="E32" i="5" s="1"/>
  <c r="C31" i="5"/>
  <c r="E31" i="5" s="1"/>
  <c r="C30" i="5"/>
  <c r="E30" i="5" s="1"/>
  <c r="C29" i="5"/>
  <c r="E29" i="5" s="1"/>
  <c r="C28" i="5"/>
  <c r="E28" i="5" s="1"/>
  <c r="C27" i="5"/>
  <c r="E27" i="5" s="1"/>
  <c r="C26" i="5"/>
  <c r="E26" i="5" s="1"/>
  <c r="C25" i="5"/>
  <c r="E25" i="5" s="1"/>
  <c r="C24" i="5"/>
  <c r="E24" i="5" s="1"/>
  <c r="C23" i="5"/>
  <c r="E23" i="5" s="1"/>
  <c r="C22" i="5"/>
  <c r="E22" i="5" s="1"/>
  <c r="C21" i="5"/>
  <c r="E21" i="5" s="1"/>
  <c r="C20" i="5"/>
  <c r="E20" i="5" s="1"/>
  <c r="C19" i="5"/>
  <c r="E19" i="5" s="1"/>
  <c r="C18" i="5"/>
  <c r="E18" i="5" s="1"/>
  <c r="C17" i="5"/>
  <c r="E17" i="5" s="1"/>
  <c r="C16" i="5"/>
  <c r="E16" i="5" s="1"/>
  <c r="C15" i="5"/>
  <c r="E15" i="5" s="1"/>
  <c r="C14" i="5"/>
  <c r="E14" i="5" s="1"/>
  <c r="C13" i="5"/>
  <c r="E13" i="5" s="1"/>
  <c r="C12" i="5"/>
  <c r="E12" i="5" s="1"/>
  <c r="C11" i="5"/>
  <c r="E11" i="5" s="1"/>
  <c r="C10" i="5"/>
  <c r="E10" i="5" s="1"/>
  <c r="C9" i="5"/>
  <c r="E9" i="5" s="1"/>
  <c r="C8" i="5"/>
  <c r="E8" i="5" s="1"/>
  <c r="C6" i="5"/>
  <c r="E6" i="5" l="1"/>
  <c r="E5" i="5" s="1"/>
  <c r="C5" i="5"/>
  <c r="D2" i="5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FA570825-8B4B-4645-B7BB-B2A594F80F77}" keepAlive="1" name="Query - dummy_products" description="Connection to the 'dummy_products' query in the workbook." type="5" refreshedVersion="8" background="1" saveData="1">
    <dbPr connection="Provider=Microsoft.Mashup.OleDb.1;Data Source=$Workbook$;Location=dummy_products;Extended Properties=&quot;&quot;" command="SELECT * FROM [dummy_products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<sst xmlns="http://schemas.openxmlformats.org/spreadsheetml/2006/main" count="130" uniqueCount="126">
  <si>
    <t>QTY</t>
  </si>
  <si>
    <t>TOTAL</t>
  </si>
  <si>
    <t>Column1</t>
  </si>
  <si>
    <t>Column2</t>
  </si>
  <si>
    <t>Product Name</t>
  </si>
  <si>
    <t>product_code</t>
  </si>
  <si>
    <t>item_name</t>
  </si>
  <si>
    <t>Minute</t>
  </si>
  <si>
    <t>Mission</t>
  </si>
  <si>
    <t>Movie</t>
  </si>
  <si>
    <t>Figure</t>
  </si>
  <si>
    <t>Over</t>
  </si>
  <si>
    <t>Per</t>
  </si>
  <si>
    <t>Strong</t>
  </si>
  <si>
    <t>Similar</t>
  </si>
  <si>
    <t>Full</t>
  </si>
  <si>
    <t>Say</t>
  </si>
  <si>
    <t>High</t>
  </si>
  <si>
    <t>Stay</t>
  </si>
  <si>
    <t>While</t>
  </si>
  <si>
    <t>Color</t>
  </si>
  <si>
    <t>Four</t>
  </si>
  <si>
    <t>Unit</t>
  </si>
  <si>
    <t>Development</t>
  </si>
  <si>
    <t>Surface</t>
  </si>
  <si>
    <t>Study</t>
  </si>
  <si>
    <t>When</t>
  </si>
  <si>
    <t>Charge</t>
  </si>
  <si>
    <t>Onto</t>
  </si>
  <si>
    <t>Meeting</t>
  </si>
  <si>
    <t>These</t>
  </si>
  <si>
    <t>Method</t>
  </si>
  <si>
    <t>Choose</t>
  </si>
  <si>
    <t>Fine</t>
  </si>
  <si>
    <t>Hear</t>
  </si>
  <si>
    <t>Successful</t>
  </si>
  <si>
    <t>Spend</t>
  </si>
  <si>
    <t>Sort</t>
  </si>
  <si>
    <t>Street</t>
  </si>
  <si>
    <t>Explain</t>
  </si>
  <si>
    <t>Describe</t>
  </si>
  <si>
    <t>His</t>
  </si>
  <si>
    <t>Sport</t>
  </si>
  <si>
    <t>Beautiful</t>
  </si>
  <si>
    <t>Realize</t>
  </si>
  <si>
    <t>Glass</t>
  </si>
  <si>
    <t>Specific</t>
  </si>
  <si>
    <t>Bank</t>
  </si>
  <si>
    <t>Under</t>
  </si>
  <si>
    <t>Personal</t>
  </si>
  <si>
    <t>Project</t>
  </si>
  <si>
    <t>That</t>
  </si>
  <si>
    <t>Structure</t>
  </si>
  <si>
    <t>View</t>
  </si>
  <si>
    <t>True</t>
  </si>
  <si>
    <t>Appear</t>
  </si>
  <si>
    <t>West</t>
  </si>
  <si>
    <t>Old</t>
  </si>
  <si>
    <t>Do</t>
  </si>
  <si>
    <t>Allow</t>
  </si>
  <si>
    <t>Space</t>
  </si>
  <si>
    <t>Feel</t>
  </si>
  <si>
    <t>Recently</t>
  </si>
  <si>
    <t>Develop</t>
  </si>
  <si>
    <t>Sure</t>
  </si>
  <si>
    <t>Total</t>
  </si>
  <si>
    <t>Too</t>
  </si>
  <si>
    <t>Draw</t>
  </si>
  <si>
    <t>Cover</t>
  </si>
  <si>
    <t>Party</t>
  </si>
  <si>
    <t>Economic</t>
  </si>
  <si>
    <t>Available</t>
  </si>
  <si>
    <t>Difficult</t>
  </si>
  <si>
    <t>Produce</t>
  </si>
  <si>
    <t>End</t>
  </si>
  <si>
    <t>Peace</t>
  </si>
  <si>
    <t>Discover</t>
  </si>
  <si>
    <t>Air</t>
  </si>
  <si>
    <t>Finish</t>
  </si>
  <si>
    <t>Dog</t>
  </si>
  <si>
    <t>Mother</t>
  </si>
  <si>
    <t>Write</t>
  </si>
  <si>
    <t>Group</t>
  </si>
  <si>
    <t>Believe</t>
  </si>
  <si>
    <t>Focus</t>
  </si>
  <si>
    <t>Second</t>
  </si>
  <si>
    <t>Much</t>
  </si>
  <si>
    <t>Long</t>
  </si>
  <si>
    <t>Maybe</t>
  </si>
  <si>
    <t>Single</t>
  </si>
  <si>
    <t>Account</t>
  </si>
  <si>
    <t>Effect</t>
  </si>
  <si>
    <t>Still</t>
  </si>
  <si>
    <t>Central</t>
  </si>
  <si>
    <t>Very</t>
  </si>
  <si>
    <t>Close</t>
  </si>
  <si>
    <t>Manage</t>
  </si>
  <si>
    <t>Everyone</t>
  </si>
  <si>
    <t>Fact</t>
  </si>
  <si>
    <t>Another</t>
  </si>
  <si>
    <t>Tell</t>
  </si>
  <si>
    <t>Great</t>
  </si>
  <si>
    <t>Sound</t>
  </si>
  <si>
    <t>Product Code</t>
  </si>
  <si>
    <t>Quantity</t>
  </si>
  <si>
    <t>Add</t>
  </si>
  <si>
    <t>This Worksheet requires macro enabled to be able to use the add button.</t>
  </si>
  <si>
    <t>Input Compiler</t>
  </si>
  <si>
    <t>Functionalities:</t>
  </si>
  <si>
    <t>STORE NAME</t>
  </si>
  <si>
    <t>DATE</t>
  </si>
  <si>
    <t>TOTAL QTY</t>
  </si>
  <si>
    <t>PRICE</t>
  </si>
  <si>
    <t>PRODUCT NAME</t>
  </si>
  <si>
    <t>PRODUCT CODE</t>
  </si>
  <si>
    <t>1. Compiles transactions based on the product code</t>
  </si>
  <si>
    <t>2. Show product name based on product code in database</t>
  </si>
  <si>
    <t>3. Calculate sum if given price</t>
  </si>
  <si>
    <t xml:space="preserve">How to Use: </t>
  </si>
  <si>
    <t>1. Fill Product Database sheet with product name and code</t>
  </si>
  <si>
    <t>2. Fill product code and initial quantity in Input sheet</t>
  </si>
  <si>
    <t>repeated inputs of the same code will be summed up in the Summary sheet</t>
  </si>
  <si>
    <t>insert a number in the Add column if needed to add a quantity to the current item quantity</t>
  </si>
  <si>
    <t>press Add button to add the number from Add column onto the Quantity column. The values on the Add columns will be removed</t>
  </si>
  <si>
    <t>3. The Summary sheet is used to preview the summary of the inputs.</t>
  </si>
  <si>
    <t>TOTAL PRICE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</si>
</sst>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\ mmmm\ yyyy"/>
    <numFmt numFmtId="165" formatCode="[$Rp ]#,##0"/>
  </numFmts>
  <fonts count="17">
    <font>
      <sz val="10"/>
      <color rgb="FF000000"/>
      <name val="Arial"/>
      <scheme val="minor"/>
    </font>
    <font>
      <b/>
      <sz val="10"/>
      <color rgb="FF000000"/>
      <name val="Arial"/>
      <family val="2"/>
      <scheme val="minor"/>
    </font>
    <font>
      <sz val="9"/>
      <color rgb="FF000000"/>
      <name val="&quot;Microsoft Sans Serif&quot;"/>
    </font>
    <font>
      <sz val="9"/>
      <color rgb="FF000000"/>
      <name val="Arial"/>
      <family val="2"/>
    </font>
    <font>
      <sz val="9"/>
      <color rgb="FF000000"/>
      <name val="Arial"/>
      <family val="2"/>
      <scheme val="minor"/>
    </font>
    <font>
      <sz val="9"/>
      <color theme="1"/>
      <name val="Arial"/>
      <family val="2"/>
      <scheme val="minor"/>
    </font>
    <font>
      <sz val="10"/>
      <color theme="1"/>
      <name val="Arial"/>
      <family val="2"/>
      <scheme val="minor"/>
    </font>
    <font>
      <sz val="10"/>
      <name val="Arial"/>
      <family val="2"/>
    </font>
    <font>
      <sz val="10"/>
      <color theme="1"/>
      <name val="Arial"/>
      <family val="2"/>
      <scheme val="minor"/>
    </font>
    <font>
      <sz val="10"/>
      <color rgb="FF000000"/>
      <name val="Arial"/>
      <family val="2"/>
      <scheme val="minor"/>
    </font>
    <font>
      <sz val="8"/>
      <name val="Arial"/>
      <family val="2"/>
      <scheme val="minor"/>
    </font>
    <font>
      <sz val="10"/>
      <color rgb="FFFF0000"/>
      <name val="Arial"/>
      <family val="2"/>
      <scheme val="minor"/>
    </font>
    <font>
      <sz val="10"/>
      <name val="Arial"/>
      <family val="2"/>
      <scheme val="minor"/>
    </font>
    <font>
      <sz val="28"/>
      <color rgb="FF000000"/>
      <name val="Arial"/>
      <family val="2"/>
    </font>
    <font>
      <sz val="10"/>
      <color rgb="FF000000"/>
      <name val="Times New Roman"/>
      <family val="1"/>
    </font>
    <font>
      <sz val="12"/>
      <color rgb="FF000000"/>
      <name val="Times New Roman"/>
      <family val="1"/>
    </font>
    <font>
      <sz val="36"/>
      <color rgb="FF000000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rgb="FFF3F3F3"/>
        <bgColor rgb="FFF3F3F3"/>
      </patternFill>
    </fill>
    <fill>
      <patternFill patternType="solid">
        <fgColor rgb="FFFFFF00"/>
        <bgColor rgb="FFFFFF00"/>
      </patternFill>
    </fill>
    <fill>
      <patternFill patternType="solid">
        <fgColor rgb="FFD9D9D9"/>
        <bgColor rgb="FFD9D9D9"/>
      </patternFill>
    </fill>
    <fill>
      <patternFill patternType="solid">
        <fgColor theme="1"/>
        <bgColor indexed="64"/>
      </patternFill>
    </fill>
    <fill>
      <patternFill patternType="solid">
        <fgColor theme="0" tint="-0.249977111117893"/>
        <bgColor indexed="64"/>
      </patternFill>
    </fill>
  </fills>
  <borders count="16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</borders>
  <cellStyleXfs count="1">
    <xf numFmtId="0" fontId="0" fillId="0" borderId="0"/>
  </cellStyleXfs>
  <cellXfs count="55">
    <xf numFmtId="0" fontId="0" fillId="0" borderId="0" xfId="0"/>
    <xf numFmtId="49" fontId="2" fillId="0" borderId="0" xfId="0" applyNumberFormat="1" applyFont="1"/>
    <xf numFmtId="0" fontId="2" fillId="0" borderId="0" xfId="0" applyFont="1"/>
    <xf numFmtId="0" fontId="3" fillId="0" borderId="0" xfId="0" applyFont="1"/>
    <xf numFmtId="49" fontId="4" fillId="0" borderId="0" xfId="0" applyNumberFormat="1" applyFont="1"/>
    <xf numFmtId="0" fontId="4" fillId="0" borderId="0" xfId="0" applyFont="1"/>
    <xf numFmtId="49" fontId="4" fillId="0" borderId="0" xfId="0" applyNumberFormat="1" applyFont="1" applyAlignment="1">
      <alignment horizontal="left"/>
    </xf>
    <xf numFmtId="49" fontId="5" fillId="0" borderId="0" xfId="0" applyNumberFormat="1" applyFont="1"/>
    <xf numFmtId="0" fontId="5" fillId="0" borderId="0" xfId="0" applyFont="1"/>
    <xf numFmtId="0" fontId="4" fillId="0" borderId="0" xfId="0" applyFont="1" applyAlignment="1">
      <alignment horizontal="left"/>
    </xf>
    <xf numFmtId="0" fontId="5" fillId="0" borderId="0" xfId="0" applyFont="1" applyAlignment="1">
      <alignment horizontal="left"/>
    </xf>
    <xf numFmtId="0" fontId="5" fillId="0" borderId="1" xfId="0" applyFont="1" applyBorder="1"/>
    <xf numFmtId="49" fontId="6" fillId="0" borderId="1" xfId="0" applyNumberFormat="1" applyFont="1" applyBorder="1"/>
    <xf numFmtId="0" fontId="6" fillId="0" borderId="1" xfId="0" applyFont="1" applyBorder="1"/>
    <xf numFmtId="0" fontId="0" fillId="0" borderId="0" xfId="0" applyAlignment="1">
      <alignment horizontal="left"/>
    </xf>
    <xf numFmtId="0" fontId="0" fillId="0" borderId="0" xfId="0" applyAlignment="1">
      <alignment horizontal="right"/>
    </xf>
    <xf numFmtId="0" fontId="0" fillId="0" borderId="3" xfId="0" applyBorder="1"/>
    <xf numFmtId="164" fontId="0" fillId="0" borderId="3" xfId="0" applyNumberFormat="1" applyBorder="1" applyAlignment="1">
      <alignment horizontal="left"/>
    </xf>
    <xf numFmtId="0" fontId="1" fillId="0" borderId="2" xfId="0" applyFont="1" applyBorder="1" applyAlignment="1">
      <alignment horizontal="center"/>
    </xf>
    <xf numFmtId="165" fontId="1" fillId="0" borderId="2" xfId="0" applyNumberFormat="1" applyFont="1" applyBorder="1" applyAlignment="1">
      <alignment horizontal="center"/>
    </xf>
    <xf numFmtId="0" fontId="0" fillId="3" borderId="1" xfId="0" applyFill="1" applyBorder="1" applyAlignment="1">
      <alignment horizontal="right"/>
    </xf>
    <xf numFmtId="3" fontId="0" fillId="4" borderId="1" xfId="0" applyNumberFormat="1" applyFill="1" applyBorder="1"/>
    <xf numFmtId="3" fontId="0" fillId="0" borderId="1" xfId="0" applyNumberFormat="1" applyBorder="1" applyAlignment="1">
      <alignment horizontal="right"/>
    </xf>
    <xf numFmtId="0" fontId="0" fillId="0" borderId="1" xfId="0" applyBorder="1"/>
    <xf numFmtId="0" fontId="0" fillId="0" borderId="1" xfId="0" applyBorder="1" applyAlignment="1">
      <alignment horizontal="right"/>
    </xf>
    <xf numFmtId="3" fontId="0" fillId="0" borderId="1" xfId="0" applyNumberFormat="1" applyBorder="1"/>
    <xf numFmtId="0" fontId="8" fillId="0" borderId="1" xfId="0" applyFont="1" applyBorder="1"/>
    <xf numFmtId="0" fontId="0" fillId="5" borderId="0" xfId="0" applyFill="1"/>
    <xf numFmtId="0" fontId="0" fillId="5" borderId="8" xfId="0" applyFill="1" applyBorder="1"/>
    <xf numFmtId="0" fontId="9" fillId="0" borderId="10" xfId="0" applyFont="1" applyBorder="1"/>
    <xf numFmtId="0" fontId="0" fillId="0" borderId="6" xfId="0" applyBorder="1"/>
    <xf numFmtId="0" fontId="0" fillId="5" borderId="6" xfId="0" applyFill="1" applyBorder="1"/>
    <xf numFmtId="0" fontId="8" fillId="0" borderId="6" xfId="0" applyFont="1" applyBorder="1"/>
    <xf numFmtId="0" fontId="0" fillId="0" borderId="11" xfId="0" applyBorder="1"/>
    <xf numFmtId="0" fontId="0" fillId="0" borderId="10" xfId="0" applyBorder="1"/>
    <xf numFmtId="0" fontId="0" fillId="0" borderId="12" xfId="0" applyBorder="1"/>
    <xf numFmtId="0" fontId="0" fillId="0" borderId="13" xfId="0" applyBorder="1"/>
    <xf numFmtId="0" fontId="0" fillId="5" borderId="13" xfId="0" applyFill="1" applyBorder="1"/>
    <xf numFmtId="0" fontId="0" fillId="0" borderId="14" xfId="0" applyBorder="1"/>
    <xf numFmtId="0" fontId="9" fillId="0" borderId="8" xfId="0" applyFont="1" applyBorder="1"/>
    <xf numFmtId="0" fontId="11" fillId="0" borderId="1" xfId="0" applyFont="1" applyBorder="1"/>
    <xf numFmtId="0" fontId="11" fillId="0" borderId="0" xfId="0" applyFont="1"/>
    <xf numFmtId="0" fontId="12" fillId="0" borderId="1" xfId="0" applyFont="1" applyBorder="1"/>
    <xf numFmtId="0" fontId="1" fillId="0" borderId="4" xfId="0" applyFont="1" applyBorder="1" applyAlignment="1">
      <alignment horizontal="center"/>
    </xf>
    <xf numFmtId="0" fontId="7" fillId="0" borderId="5" xfId="0" applyFont="1" applyBorder="1"/>
    <xf numFmtId="0" fontId="0" fillId="0" borderId="0" xfId="0" applyNumberFormat="1"/>
    <xf numFmtId="49" fontId="1" fillId="2" borderId="15" xfId="0" applyNumberFormat="1" applyFont="1" applyFill="1" applyBorder="1"/>
    <xf numFmtId="0" fontId="1" fillId="2" borderId="15" xfId="0" applyFont="1" applyFill="1" applyBorder="1"/>
    <xf numFmtId="0" fontId="9" fillId="0" borderId="7" xfId="0" applyFont="1" applyBorder="1" applyAlignment="1">
      <alignment wrapText="1"/>
    </xf>
    <xf numFmtId="0" fontId="9" fillId="0" borderId="9" xfId="0" applyFont="1" applyBorder="1" applyAlignment="1">
      <alignment wrapText="1"/>
    </xf>
    <xf numFmtId="0" fontId="9" fillId="0" borderId="0" xfId="0" applyFont="1"/>
    <xf numFmtId="0" fontId="16" fillId="6" borderId="0" xfId="0" applyFont="1" applyFill="1"/>
    <xf numFmtId="0" fontId="14" fillId="6" borderId="0" xfId="0" applyFont="1" applyFill="1"/>
    <xf numFmtId="0" fontId="15" fillId="0" borderId="0" xfId="0" applyFont="1"/>
    <xf numFmtId="0" fontId="0" fillId="0" borderId="0" xfId="0" applyAlignment="1">
      <alignment horizontal="center"/>
    </xf>
  </cellXfs>
  <cellStyles count="1">
    <cellStyle name="Normal" xfId="0" builtinId="0"/>
  </cellStyles>
  <dxfs count="1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minor"/>
      </font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openxmlformats.org/officeDocument/2006/relationships/customXml" Target="../customXml/item1.xml"/><Relationship Id="rId5" Type="http://schemas.openxmlformats.org/officeDocument/2006/relationships/theme" Target="theme/theme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0</xdr:row>
          <xdr:rowOff>22860</xdr:rowOff>
        </xdr:from>
        <xdr:to>
          <xdr:col>8</xdr:col>
          <xdr:colOff>491490</xdr:colOff>
          <xdr:row>95</xdr:row>
          <xdr:rowOff>118110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1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" wrap="square" lIns="128016" tIns="105156" rIns="128016" bIns="0" anchor="ctr" upright="1"/>
            <a:lstStyle/>
            <a:p>
              <a:pPr algn="l" rtl="0">
                <a:defRPr sz="1000"/>
              </a:pPr>
              <a:r>
                <a:rPr lang="en-US" sz="2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  ADD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9DE5AB3F-328C-475C-A056-074EFA658FB2}" autoFormatId="16" applyNumberFormats="0" applyBorderFormats="0" applyFontFormats="0" applyPatternFormats="0" applyAlignmentFormats="0" applyWidthHeightFormats="0">
  <queryTableRefresh nextId="3">
    <queryTableFields count="2">
      <queryTableField id="1" name="product_code" tableColumnId="1"/>
      <queryTableField id="2" name="item_name" tableColumnId="2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9101AC4-4B95-4B17-AE87-87A27EAE63B3}" name="dummy_products" displayName="dummy_products" ref="A1:B101" tableType="queryTable" totalsRowShown="0">
  <autoFilter ref="A1:B101" xr:uid="{39101AC4-4B95-4B17-AE87-87A27EAE63B3}"/>
  <tableColumns count="2">
    <tableColumn id="1" xr3:uid="{57E1A6B4-C838-42D6-B60E-2904CFDF3DC3}" uniqueName="1" name="product_code" queryTableFieldId="1"/>
    <tableColumn id="2" xr3:uid="{159E2CDD-E4D1-4AFA-ADC4-D85F7952BD48}" uniqueName="2" name="item_name" queryTableFieldId="2" dataDxfId="1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B0160DC-5245-4132-8274-E6C28298BB96}" name="Table4" displayName="Table4" ref="A1:F1000" totalsRowShown="0" headerRowDxfId="10" headerRowBorderDxfId="9" tableBorderDxfId="8" totalsRowBorderDxfId="7">
  <autoFilter ref="A1:F1000" xr:uid="{8B0160DC-5245-4132-8274-E6C28298BB96}"/>
  <sortState xmlns:xlrd2="http://schemas.microsoft.com/office/spreadsheetml/2017/richdata2" ref="A2:F1000">
    <sortCondition ref="A1:A1000"/>
  </sortState>
  <tableColumns count="6">
    <tableColumn id="1" xr3:uid="{6CFC1615-9E2F-474C-A8AA-A0B72A7B1E98}" name="Product Code" dataDxfId="6"/>
    <tableColumn id="2" xr3:uid="{D1616227-01C3-487B-A4BE-A9BA8785DCE5}" name="Quantity" dataDxfId="5"/>
    <tableColumn id="7" xr3:uid="{9E19517D-DD9E-4DEC-8980-23DBBA09DA84}" name="Column2" dataDxfId="4"/>
    <tableColumn id="3" xr3:uid="{2E66509B-19D5-4C4B-84D0-408A36897630}" name="Product Name" dataDxfId="0">
      <calculatedColumnFormula>IF(ISBLANK(A2)," ",VLOOKUP(A2,'Product Database'!A:B,2,FALSE))</calculatedColumnFormula>
    </tableColumn>
    <tableColumn id="5" xr3:uid="{25EDCF9C-C0DB-44C9-B960-51A0082F624D}" name="Column1" dataDxfId="3"/>
    <tableColumn id="6" xr3:uid="{761153FD-F9A3-4682-8269-BAAD7B68C9A0}" name="Add" dataDxfId="2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33F26B-1DEB-46F6-8567-C112EA1282A5}">
  <dimension ref="A1:C15"/>
  <sheetViews>
    <sheetView workbookViewId="0">
      <selection activeCell="A17" sqref="A17"/>
    </sheetView>
  </sheetViews>
  <sheetFormatPr defaultRowHeight="15.3"/>
  <cols>
    <col min="1" max="1" width="4" style="53" customWidth="1"/>
    <col min="2" max="2" width="4.1640625" style="53" customWidth="1"/>
    <col min="3" max="16384" width="8.88671875" style="53"/>
  </cols>
  <sheetData>
    <row r="1" spans="1:3" s="52" customFormat="1" ht="43.8" customHeight="1">
      <c r="A1" s="51" t="s">
        <v>107</v>
      </c>
    </row>
    <row r="2" spans="1:3">
      <c r="A2" s="53" t="s">
        <v>106</v>
      </c>
    </row>
    <row r="4" spans="1:3">
      <c r="A4" s="53" t="s">
        <v>108</v>
      </c>
    </row>
    <row r="5" spans="1:3">
      <c r="B5" s="53" t="s">
        <v>115</v>
      </c>
    </row>
    <row r="6" spans="1:3">
      <c r="B6" s="53" t="s">
        <v>116</v>
      </c>
    </row>
    <row r="7" spans="1:3">
      <c r="B7" s="53" t="s">
        <v>117</v>
      </c>
    </row>
    <row r="9" spans="1:3">
      <c r="A9" s="53" t="s">
        <v>118</v>
      </c>
    </row>
    <row r="10" spans="1:3">
      <c r="B10" s="53" t="s">
        <v>119</v>
      </c>
    </row>
    <row r="11" spans="1:3">
      <c r="B11" s="53" t="s">
        <v>120</v>
      </c>
    </row>
    <row r="12" spans="1:3">
      <c r="C12" s="53" t="s">
        <v>121</v>
      </c>
    </row>
    <row r="13" spans="1:3">
      <c r="C13" s="53" t="s">
        <v>122</v>
      </c>
    </row>
    <row r="14" spans="1:3">
      <c r="C14" s="53" t="s">
        <v>123</v>
      </c>
    </row>
    <row r="15" spans="1:3">
      <c r="B15" s="53" t="s">
        <v>124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outlinePr summaryBelow="0" summaryRight="0"/>
  </sheetPr>
  <dimension ref="A1:D1000"/>
  <sheetViews>
    <sheetView workbookViewId="0">
      <pane ySplit="1" topLeftCell="A2" activePane="bottomLeft" state="frozen"/>
      <selection pane="bottomLeft" activeCell="C1" sqref="C1:XFD1048576"/>
    </sheetView>
  </sheetViews>
  <sheetFormatPr defaultColWidth="0" defaultRowHeight="15.75" customHeight="1"/>
  <cols>
    <col min="1" max="1" width="15.109375" bestFit="1" customWidth="1"/>
    <col min="2" max="2" width="12.5" bestFit="1" customWidth="1"/>
    <col min="3" max="3" width="14.0546875" hidden="1"/>
    <col min="4" max="4" width="11.71875" hidden="1"/>
    <col min="5" max="16384" width="12.609375" hidden="1"/>
  </cols>
  <sheetData>
    <row r="1" spans="1:4" ht="12.3">
      <c r="A1" t="s">
        <v>5</v>
      </c>
      <c r="B1" t="s">
        <v>6</v>
      </c>
      <c r="C1" s="46"/>
      <c r="D1" s="47"/>
    </row>
    <row r="2" spans="1:4" ht="12.3">
      <c r="A2">
        <v>1</v>
      </c>
      <c r="B2" s="45" t="s">
        <v>19</v>
      </c>
    </row>
    <row r="3" spans="1:4" ht="12.3">
      <c r="A3">
        <v>2</v>
      </c>
      <c r="B3" s="45" t="s">
        <v>20</v>
      </c>
    </row>
    <row r="4" spans="1:4" ht="12.3">
      <c r="A4">
        <v>3</v>
      </c>
      <c r="B4" s="45" t="s">
        <v>21</v>
      </c>
    </row>
    <row r="5" spans="1:4" ht="12.3">
      <c r="A5">
        <v>4</v>
      </c>
      <c r="B5" s="45" t="s">
        <v>22</v>
      </c>
    </row>
    <row r="6" spans="1:4" ht="12.3">
      <c r="A6">
        <v>5</v>
      </c>
      <c r="B6" s="45" t="s">
        <v>23</v>
      </c>
    </row>
    <row r="7" spans="1:4" ht="12.3">
      <c r="A7">
        <v>6</v>
      </c>
      <c r="B7" s="45" t="s">
        <v>24</v>
      </c>
    </row>
    <row r="8" spans="1:4" ht="12.3">
      <c r="A8">
        <v>7</v>
      </c>
      <c r="B8" s="45" t="s">
        <v>25</v>
      </c>
    </row>
    <row r="9" spans="1:4" ht="12.3">
      <c r="A9">
        <v>8</v>
      </c>
      <c r="B9" s="45" t="s">
        <v>26</v>
      </c>
    </row>
    <row r="10" spans="1:4" ht="12.3">
      <c r="A10">
        <v>9</v>
      </c>
      <c r="B10" s="45" t="s">
        <v>27</v>
      </c>
    </row>
    <row r="11" spans="1:4" ht="12.3">
      <c r="A11">
        <v>10</v>
      </c>
      <c r="B11" s="45" t="s">
        <v>28</v>
      </c>
    </row>
    <row r="12" spans="1:4" ht="12.3">
      <c r="A12">
        <v>11</v>
      </c>
      <c r="B12" s="45" t="s">
        <v>29</v>
      </c>
    </row>
    <row r="13" spans="1:4" ht="12.3">
      <c r="A13">
        <v>12</v>
      </c>
      <c r="B13" s="45" t="s">
        <v>30</v>
      </c>
    </row>
    <row r="14" spans="1:4" ht="12.3">
      <c r="A14">
        <v>13</v>
      </c>
      <c r="B14" s="45" t="s">
        <v>31</v>
      </c>
    </row>
    <row r="15" spans="1:4" ht="12.3">
      <c r="A15">
        <v>14</v>
      </c>
      <c r="B15" s="45" t="s">
        <v>32</v>
      </c>
    </row>
    <row r="16" spans="1:4" ht="12.3">
      <c r="A16">
        <v>15</v>
      </c>
      <c r="B16" s="45" t="s">
        <v>33</v>
      </c>
    </row>
    <row r="17" spans="1:2" ht="12.3">
      <c r="A17">
        <v>16</v>
      </c>
      <c r="B17" s="45" t="s">
        <v>34</v>
      </c>
    </row>
    <row r="18" spans="1:2" ht="12.3">
      <c r="A18">
        <v>17</v>
      </c>
      <c r="B18" s="45" t="s">
        <v>35</v>
      </c>
    </row>
    <row r="19" spans="1:2" ht="12.3">
      <c r="A19">
        <v>18</v>
      </c>
      <c r="B19" s="45" t="s">
        <v>36</v>
      </c>
    </row>
    <row r="20" spans="1:2" ht="12.3">
      <c r="A20">
        <v>19</v>
      </c>
      <c r="B20" s="45" t="s">
        <v>37</v>
      </c>
    </row>
    <row r="21" spans="1:2" ht="12.3">
      <c r="A21">
        <v>20</v>
      </c>
      <c r="B21" s="45" t="s">
        <v>38</v>
      </c>
    </row>
    <row r="22" spans="1:2" ht="12.3">
      <c r="A22">
        <v>21</v>
      </c>
      <c r="B22" s="45" t="s">
        <v>39</v>
      </c>
    </row>
    <row r="23" spans="1:2" ht="12.3">
      <c r="A23">
        <v>22</v>
      </c>
      <c r="B23" s="45" t="s">
        <v>40</v>
      </c>
    </row>
    <row r="24" spans="1:2" ht="12.3">
      <c r="A24">
        <v>23</v>
      </c>
      <c r="B24" s="45" t="s">
        <v>41</v>
      </c>
    </row>
    <row r="25" spans="1:2" ht="12.3">
      <c r="A25">
        <v>24</v>
      </c>
      <c r="B25" s="45" t="s">
        <v>42</v>
      </c>
    </row>
    <row r="26" spans="1:2" ht="12.3">
      <c r="A26">
        <v>25</v>
      </c>
      <c r="B26" s="45" t="s">
        <v>43</v>
      </c>
    </row>
    <row r="27" spans="1:2" ht="12.3">
      <c r="A27">
        <v>26</v>
      </c>
      <c r="B27" s="45" t="s">
        <v>8</v>
      </c>
    </row>
    <row r="28" spans="1:2" ht="12.3">
      <c r="A28">
        <v>27</v>
      </c>
      <c r="B28" s="45" t="s">
        <v>44</v>
      </c>
    </row>
    <row r="29" spans="1:2" ht="12.3">
      <c r="A29">
        <v>28</v>
      </c>
      <c r="B29" s="45" t="s">
        <v>45</v>
      </c>
    </row>
    <row r="30" spans="1:2" ht="12.3">
      <c r="A30">
        <v>29</v>
      </c>
      <c r="B30" s="45" t="s">
        <v>14</v>
      </c>
    </row>
    <row r="31" spans="1:2" ht="12.3">
      <c r="A31">
        <v>30</v>
      </c>
      <c r="B31" s="45" t="s">
        <v>9</v>
      </c>
    </row>
    <row r="32" spans="1:2" ht="12.3">
      <c r="A32">
        <v>31</v>
      </c>
      <c r="B32" s="45" t="s">
        <v>46</v>
      </c>
    </row>
    <row r="33" spans="1:2" ht="12.3">
      <c r="A33">
        <v>32</v>
      </c>
      <c r="B33" s="45" t="s">
        <v>47</v>
      </c>
    </row>
    <row r="34" spans="1:2" ht="12.3">
      <c r="A34">
        <v>33</v>
      </c>
      <c r="B34" s="45" t="s">
        <v>48</v>
      </c>
    </row>
    <row r="35" spans="1:2" ht="12.3">
      <c r="A35">
        <v>34</v>
      </c>
      <c r="B35" s="45" t="s">
        <v>49</v>
      </c>
    </row>
    <row r="36" spans="1:2" ht="12.3">
      <c r="A36">
        <v>35</v>
      </c>
      <c r="B36" s="45" t="s">
        <v>50</v>
      </c>
    </row>
    <row r="37" spans="1:2" ht="12.3">
      <c r="A37">
        <v>36</v>
      </c>
      <c r="B37" s="45" t="s">
        <v>51</v>
      </c>
    </row>
    <row r="38" spans="1:2" ht="12.3">
      <c r="A38">
        <v>37</v>
      </c>
      <c r="B38" s="45" t="s">
        <v>52</v>
      </c>
    </row>
    <row r="39" spans="1:2" ht="12.3">
      <c r="A39">
        <v>38</v>
      </c>
      <c r="B39" s="45" t="s">
        <v>53</v>
      </c>
    </row>
    <row r="40" spans="1:2" ht="12.3">
      <c r="A40">
        <v>39</v>
      </c>
      <c r="B40" s="45" t="s">
        <v>54</v>
      </c>
    </row>
    <row r="41" spans="1:2" ht="12.3">
      <c r="A41">
        <v>40</v>
      </c>
      <c r="B41" s="45" t="s">
        <v>55</v>
      </c>
    </row>
    <row r="42" spans="1:2" ht="12.3">
      <c r="A42">
        <v>41</v>
      </c>
      <c r="B42" s="45" t="s">
        <v>7</v>
      </c>
    </row>
    <row r="43" spans="1:2" ht="12.3">
      <c r="A43">
        <v>42</v>
      </c>
      <c r="B43" s="45" t="s">
        <v>56</v>
      </c>
    </row>
    <row r="44" spans="1:2" ht="12.3">
      <c r="A44">
        <v>43</v>
      </c>
      <c r="B44" s="45" t="s">
        <v>57</v>
      </c>
    </row>
    <row r="45" spans="1:2" ht="12.3">
      <c r="A45">
        <v>44</v>
      </c>
      <c r="B45" s="45" t="s">
        <v>58</v>
      </c>
    </row>
    <row r="46" spans="1:2" ht="12.3">
      <c r="A46">
        <v>45</v>
      </c>
      <c r="B46" s="45" t="s">
        <v>10</v>
      </c>
    </row>
    <row r="47" spans="1:2" ht="12.3">
      <c r="A47">
        <v>46</v>
      </c>
      <c r="B47" s="45" t="s">
        <v>59</v>
      </c>
    </row>
    <row r="48" spans="1:2" ht="12.3">
      <c r="A48">
        <v>47</v>
      </c>
      <c r="B48" s="45" t="s">
        <v>60</v>
      </c>
    </row>
    <row r="49" spans="1:2" ht="12.3">
      <c r="A49">
        <v>48</v>
      </c>
      <c r="B49" s="45" t="s">
        <v>11</v>
      </c>
    </row>
    <row r="50" spans="1:2" ht="12.3">
      <c r="A50">
        <v>49</v>
      </c>
      <c r="B50" s="45" t="s">
        <v>61</v>
      </c>
    </row>
    <row r="51" spans="1:2" ht="12.3">
      <c r="A51">
        <v>50</v>
      </c>
      <c r="B51" s="45" t="s">
        <v>62</v>
      </c>
    </row>
    <row r="52" spans="1:2" ht="12.3">
      <c r="A52">
        <v>51</v>
      </c>
      <c r="B52" s="45" t="s">
        <v>63</v>
      </c>
    </row>
    <row r="53" spans="1:2" ht="12.3">
      <c r="A53">
        <v>52</v>
      </c>
      <c r="B53" s="45" t="s">
        <v>64</v>
      </c>
    </row>
    <row r="54" spans="1:2" ht="12.3">
      <c r="A54">
        <v>53</v>
      </c>
      <c r="B54" s="45" t="s">
        <v>65</v>
      </c>
    </row>
    <row r="55" spans="1:2" ht="12.3">
      <c r="A55">
        <v>54</v>
      </c>
      <c r="B55" s="45" t="s">
        <v>66</v>
      </c>
    </row>
    <row r="56" spans="1:2" ht="12.3">
      <c r="A56">
        <v>55</v>
      </c>
      <c r="B56" s="45" t="s">
        <v>67</v>
      </c>
    </row>
    <row r="57" spans="1:2" ht="12.3">
      <c r="A57">
        <v>56</v>
      </c>
      <c r="B57" s="45" t="s">
        <v>68</v>
      </c>
    </row>
    <row r="58" spans="1:2" ht="12.3">
      <c r="A58">
        <v>57</v>
      </c>
      <c r="B58" s="45" t="s">
        <v>69</v>
      </c>
    </row>
    <row r="59" spans="1:2" ht="12.3">
      <c r="A59">
        <v>58</v>
      </c>
      <c r="B59" s="45" t="s">
        <v>70</v>
      </c>
    </row>
    <row r="60" spans="1:2" ht="12.3">
      <c r="A60">
        <v>59</v>
      </c>
      <c r="B60" s="45" t="s">
        <v>71</v>
      </c>
    </row>
    <row r="61" spans="1:2" ht="12.3">
      <c r="A61">
        <v>60</v>
      </c>
      <c r="B61" s="45" t="s">
        <v>16</v>
      </c>
    </row>
    <row r="62" spans="1:2" ht="12.3">
      <c r="A62">
        <v>61</v>
      </c>
      <c r="B62" s="45" t="s">
        <v>72</v>
      </c>
    </row>
    <row r="63" spans="1:2" ht="12.3">
      <c r="A63">
        <v>62</v>
      </c>
      <c r="B63" s="45" t="s">
        <v>73</v>
      </c>
    </row>
    <row r="64" spans="1:2" ht="12.3">
      <c r="A64">
        <v>63</v>
      </c>
      <c r="B64" s="45" t="s">
        <v>15</v>
      </c>
    </row>
    <row r="65" spans="1:2" ht="12.3">
      <c r="A65">
        <v>64</v>
      </c>
      <c r="B65" s="45" t="s">
        <v>74</v>
      </c>
    </row>
    <row r="66" spans="1:2" ht="12.3">
      <c r="A66">
        <v>65</v>
      </c>
      <c r="B66" s="45" t="s">
        <v>61</v>
      </c>
    </row>
    <row r="67" spans="1:2" ht="12.3">
      <c r="A67">
        <v>66</v>
      </c>
      <c r="B67" s="45" t="s">
        <v>75</v>
      </c>
    </row>
    <row r="68" spans="1:2" ht="12.3">
      <c r="A68">
        <v>67</v>
      </c>
      <c r="B68" s="45" t="s">
        <v>76</v>
      </c>
    </row>
    <row r="69" spans="1:2" ht="12.3">
      <c r="A69">
        <v>68</v>
      </c>
      <c r="B69" s="45" t="s">
        <v>28</v>
      </c>
    </row>
    <row r="70" spans="1:2" ht="12.3">
      <c r="A70">
        <v>69</v>
      </c>
      <c r="B70" s="45" t="s">
        <v>77</v>
      </c>
    </row>
    <row r="71" spans="1:2" ht="12.3">
      <c r="A71">
        <v>70</v>
      </c>
      <c r="B71" s="45" t="s">
        <v>78</v>
      </c>
    </row>
    <row r="72" spans="1:2" ht="12.3">
      <c r="A72">
        <v>71</v>
      </c>
      <c r="B72" s="45" t="s">
        <v>79</v>
      </c>
    </row>
    <row r="73" spans="1:2" ht="12.3">
      <c r="A73">
        <v>72</v>
      </c>
      <c r="B73" s="45" t="s">
        <v>29</v>
      </c>
    </row>
    <row r="74" spans="1:2" ht="12.3">
      <c r="A74">
        <v>73</v>
      </c>
      <c r="B74" s="45" t="s">
        <v>80</v>
      </c>
    </row>
    <row r="75" spans="1:2" ht="12.3">
      <c r="A75">
        <v>74</v>
      </c>
      <c r="B75" s="45" t="s">
        <v>81</v>
      </c>
    </row>
    <row r="76" spans="1:2" ht="12.3">
      <c r="A76">
        <v>75</v>
      </c>
      <c r="B76" s="45" t="s">
        <v>82</v>
      </c>
    </row>
    <row r="77" spans="1:2" ht="12.3">
      <c r="A77">
        <v>76</v>
      </c>
      <c r="B77" s="45" t="s">
        <v>83</v>
      </c>
    </row>
    <row r="78" spans="1:2" ht="12.3">
      <c r="A78">
        <v>77</v>
      </c>
      <c r="B78" s="45" t="s">
        <v>18</v>
      </c>
    </row>
    <row r="79" spans="1:2" ht="12.3">
      <c r="A79">
        <v>78</v>
      </c>
      <c r="B79" s="45" t="s">
        <v>84</v>
      </c>
    </row>
    <row r="80" spans="1:2" ht="12.3">
      <c r="A80">
        <v>79</v>
      </c>
      <c r="B80" s="45" t="s">
        <v>85</v>
      </c>
    </row>
    <row r="81" spans="1:2" ht="12.3">
      <c r="A81">
        <v>80</v>
      </c>
      <c r="B81" s="45" t="s">
        <v>86</v>
      </c>
    </row>
    <row r="82" spans="1:2" ht="12.3">
      <c r="A82">
        <v>81</v>
      </c>
      <c r="B82" s="45" t="s">
        <v>87</v>
      </c>
    </row>
    <row r="83" spans="1:2" ht="12.3">
      <c r="A83">
        <v>82</v>
      </c>
      <c r="B83" s="45" t="s">
        <v>12</v>
      </c>
    </row>
    <row r="84" spans="1:2" ht="12.3">
      <c r="A84">
        <v>83</v>
      </c>
      <c r="B84" s="45" t="s">
        <v>88</v>
      </c>
    </row>
    <row r="85" spans="1:2" ht="12.3">
      <c r="A85">
        <v>84</v>
      </c>
      <c r="B85" s="45" t="s">
        <v>89</v>
      </c>
    </row>
    <row r="86" spans="1:2" ht="12.3">
      <c r="A86">
        <v>85</v>
      </c>
      <c r="B86" s="45" t="s">
        <v>90</v>
      </c>
    </row>
    <row r="87" spans="1:2" ht="12.3">
      <c r="A87">
        <v>86</v>
      </c>
      <c r="B87" s="45" t="s">
        <v>91</v>
      </c>
    </row>
    <row r="88" spans="1:2" ht="12.3">
      <c r="A88">
        <v>87</v>
      </c>
      <c r="B88" s="45" t="s">
        <v>17</v>
      </c>
    </row>
    <row r="89" spans="1:2" ht="12.3">
      <c r="A89">
        <v>88</v>
      </c>
      <c r="B89" s="45" t="s">
        <v>92</v>
      </c>
    </row>
    <row r="90" spans="1:2" ht="12.3">
      <c r="A90">
        <v>89</v>
      </c>
      <c r="B90" s="45" t="s">
        <v>93</v>
      </c>
    </row>
    <row r="91" spans="1:2" ht="12.3">
      <c r="A91">
        <v>90</v>
      </c>
      <c r="B91" s="45" t="s">
        <v>94</v>
      </c>
    </row>
    <row r="92" spans="1:2" ht="12.3">
      <c r="A92">
        <v>91</v>
      </c>
      <c r="B92" s="45" t="s">
        <v>95</v>
      </c>
    </row>
    <row r="93" spans="1:2" ht="12.3">
      <c r="A93">
        <v>92</v>
      </c>
      <c r="B93" s="45" t="s">
        <v>13</v>
      </c>
    </row>
    <row r="94" spans="1:2" ht="12.3">
      <c r="A94">
        <v>93</v>
      </c>
      <c r="B94" s="45" t="s">
        <v>96</v>
      </c>
    </row>
    <row r="95" spans="1:2" ht="12.3">
      <c r="A95">
        <v>94</v>
      </c>
      <c r="B95" s="45" t="s">
        <v>97</v>
      </c>
    </row>
    <row r="96" spans="1:2" ht="12.3">
      <c r="A96">
        <v>95</v>
      </c>
      <c r="B96" s="45" t="s">
        <v>80</v>
      </c>
    </row>
    <row r="97" spans="1:4" ht="12.3">
      <c r="A97">
        <v>96</v>
      </c>
      <c r="B97" s="45" t="s">
        <v>98</v>
      </c>
    </row>
    <row r="98" spans="1:4" ht="12.3">
      <c r="A98">
        <v>97</v>
      </c>
      <c r="B98" s="45" t="s">
        <v>99</v>
      </c>
    </row>
    <row r="99" spans="1:4" ht="12.3">
      <c r="A99">
        <v>98</v>
      </c>
      <c r="B99" s="45" t="s">
        <v>100</v>
      </c>
    </row>
    <row r="100" spans="1:4" ht="12.3">
      <c r="A100">
        <v>99</v>
      </c>
      <c r="B100" s="45" t="s">
        <v>101</v>
      </c>
    </row>
    <row r="101" spans="1:4" ht="12.3">
      <c r="A101">
        <v>100</v>
      </c>
      <c r="B101" s="45" t="s">
        <v>102</v>
      </c>
    </row>
    <row r="102" spans="1:4" ht="12.3"/>
    <row r="103" spans="1:4" ht="12.3">
      <c r="C103" s="1"/>
      <c r="D103" s="2"/>
    </row>
    <row r="104" spans="1:4" ht="12.3">
      <c r="C104" s="1"/>
      <c r="D104" s="2"/>
    </row>
    <row r="105" spans="1:4" ht="12.3">
      <c r="C105" s="1"/>
      <c r="D105" s="2"/>
    </row>
    <row r="106" spans="1:4" ht="12.3">
      <c r="C106" s="1"/>
      <c r="D106" s="2"/>
    </row>
    <row r="107" spans="1:4" ht="12.3">
      <c r="C107" s="1"/>
      <c r="D107" s="2"/>
    </row>
    <row r="108" spans="1:4" ht="12.3">
      <c r="C108" s="1"/>
      <c r="D108" s="2"/>
    </row>
    <row r="109" spans="1:4" ht="12.3">
      <c r="C109" s="1"/>
      <c r="D109" s="2"/>
    </row>
    <row r="110" spans="1:4" ht="12.3">
      <c r="C110" s="1"/>
      <c r="D110" s="2"/>
    </row>
    <row r="111" spans="1:4" ht="12.3">
      <c r="C111" s="1"/>
      <c r="D111" s="2"/>
    </row>
    <row r="112" spans="1:4" ht="12.3">
      <c r="C112" s="1"/>
      <c r="D112" s="2"/>
    </row>
    <row r="113" spans="3:4" ht="12.3">
      <c r="C113" s="1"/>
      <c r="D113" s="2"/>
    </row>
    <row r="114" spans="3:4" ht="12.3">
      <c r="C114" s="1"/>
      <c r="D114" s="2"/>
    </row>
    <row r="115" spans="3:4" ht="12.3">
      <c r="C115" s="1"/>
      <c r="D115" s="2"/>
    </row>
    <row r="116" spans="3:4" ht="12.3">
      <c r="C116" s="1"/>
      <c r="D116" s="2"/>
    </row>
    <row r="117" spans="3:4" ht="12.3">
      <c r="C117" s="1"/>
      <c r="D117" s="2"/>
    </row>
    <row r="118" spans="3:4" ht="12.3">
      <c r="C118" s="1"/>
      <c r="D118" s="2"/>
    </row>
    <row r="119" spans="3:4" ht="12.3">
      <c r="C119" s="1"/>
      <c r="D119" s="2"/>
    </row>
    <row r="120" spans="3:4" ht="12.3">
      <c r="C120" s="1"/>
      <c r="D120" s="2"/>
    </row>
    <row r="121" spans="3:4" ht="12.3">
      <c r="C121" s="1"/>
      <c r="D121" s="2"/>
    </row>
    <row r="122" spans="3:4" ht="12.3">
      <c r="C122" s="1"/>
      <c r="D122" s="2"/>
    </row>
    <row r="123" spans="3:4" ht="12.3">
      <c r="C123" s="1"/>
      <c r="D123" s="2"/>
    </row>
    <row r="124" spans="3:4" ht="12.3">
      <c r="C124" s="1"/>
      <c r="D124" s="2"/>
    </row>
    <row r="125" spans="3:4" ht="12.3">
      <c r="C125" s="1"/>
      <c r="D125" s="2"/>
    </row>
    <row r="126" spans="3:4" ht="12.3">
      <c r="C126" s="1"/>
      <c r="D126" s="2"/>
    </row>
    <row r="127" spans="3:4" ht="12.3">
      <c r="C127" s="1"/>
      <c r="D127" s="2"/>
    </row>
    <row r="128" spans="3:4" ht="12.3">
      <c r="C128" s="1"/>
      <c r="D128" s="2"/>
    </row>
    <row r="129" spans="3:4" ht="12.3">
      <c r="C129" s="1"/>
      <c r="D129" s="2"/>
    </row>
    <row r="130" spans="3:4" ht="12.3">
      <c r="C130" s="1"/>
      <c r="D130" s="2"/>
    </row>
    <row r="131" spans="3:4" ht="12.3">
      <c r="C131" s="1"/>
      <c r="D131" s="2"/>
    </row>
    <row r="132" spans="3:4" ht="12.3">
      <c r="C132" s="1"/>
      <c r="D132" s="2"/>
    </row>
    <row r="133" spans="3:4" ht="12.3">
      <c r="C133" s="1"/>
      <c r="D133" s="2"/>
    </row>
    <row r="134" spans="3:4" ht="12.3">
      <c r="C134" s="1"/>
      <c r="D134" s="2"/>
    </row>
    <row r="135" spans="3:4" ht="12.3">
      <c r="C135" s="1"/>
      <c r="D135" s="2"/>
    </row>
    <row r="136" spans="3:4" ht="12.3">
      <c r="C136" s="1"/>
      <c r="D136" s="2"/>
    </row>
    <row r="137" spans="3:4" ht="12.3">
      <c r="C137" s="1"/>
      <c r="D137" s="2"/>
    </row>
    <row r="138" spans="3:4" ht="12.3">
      <c r="C138" s="1"/>
      <c r="D138" s="2"/>
    </row>
    <row r="139" spans="3:4" ht="12.3">
      <c r="C139" s="1"/>
      <c r="D139" s="2"/>
    </row>
    <row r="140" spans="3:4" ht="12.3">
      <c r="C140" s="1"/>
      <c r="D140" s="2"/>
    </row>
    <row r="141" spans="3:4" ht="12.3">
      <c r="C141" s="1"/>
      <c r="D141" s="2"/>
    </row>
    <row r="142" spans="3:4" ht="12.3">
      <c r="C142" s="1"/>
      <c r="D142" s="2"/>
    </row>
    <row r="143" spans="3:4" ht="12.3">
      <c r="C143" s="1"/>
      <c r="D143" s="2"/>
    </row>
    <row r="144" spans="3:4" ht="12.3">
      <c r="C144" s="1"/>
      <c r="D144" s="2"/>
    </row>
    <row r="145" spans="3:4" ht="12.3">
      <c r="C145" s="1"/>
      <c r="D145" s="2"/>
    </row>
    <row r="146" spans="3:4" ht="12.3">
      <c r="C146" s="1"/>
      <c r="D146" s="2"/>
    </row>
    <row r="147" spans="3:4" ht="12.3">
      <c r="C147" s="1"/>
      <c r="D147" s="2"/>
    </row>
    <row r="148" spans="3:4" ht="12.3">
      <c r="C148" s="1"/>
      <c r="D148" s="2"/>
    </row>
    <row r="149" spans="3:4" ht="12.3">
      <c r="C149" s="1"/>
      <c r="D149" s="2"/>
    </row>
    <row r="150" spans="3:4" ht="12.3">
      <c r="C150" s="1"/>
      <c r="D150" s="2"/>
    </row>
    <row r="151" spans="3:4" ht="12.3">
      <c r="C151" s="1"/>
      <c r="D151" s="2"/>
    </row>
    <row r="152" spans="3:4" ht="12.3">
      <c r="C152" s="1"/>
      <c r="D152" s="2"/>
    </row>
    <row r="153" spans="3:4" ht="12.3">
      <c r="C153" s="1"/>
      <c r="D153" s="2"/>
    </row>
    <row r="154" spans="3:4" ht="12.3">
      <c r="C154" s="1"/>
      <c r="D154" s="2"/>
    </row>
    <row r="155" spans="3:4" ht="12.3">
      <c r="C155" s="1"/>
      <c r="D155" s="2"/>
    </row>
    <row r="156" spans="3:4" ht="12.3">
      <c r="C156" s="1"/>
      <c r="D156" s="2"/>
    </row>
    <row r="157" spans="3:4" ht="12.3">
      <c r="C157" s="1"/>
      <c r="D157" s="2"/>
    </row>
    <row r="158" spans="3:4" ht="12.3">
      <c r="C158" s="1"/>
      <c r="D158" s="2"/>
    </row>
    <row r="159" spans="3:4" ht="12.3">
      <c r="C159" s="1"/>
      <c r="D159" s="2"/>
    </row>
    <row r="160" spans="3:4" ht="12.3">
      <c r="C160" s="1"/>
      <c r="D160" s="2"/>
    </row>
    <row r="161" spans="3:4" ht="12.3">
      <c r="C161" s="1"/>
      <c r="D161" s="2"/>
    </row>
    <row r="162" spans="3:4" ht="12.3">
      <c r="C162" s="1"/>
      <c r="D162" s="2"/>
    </row>
    <row r="163" spans="3:4" ht="12.3">
      <c r="C163" s="1"/>
      <c r="D163" s="2"/>
    </row>
    <row r="164" spans="3:4" ht="12.3">
      <c r="C164" s="1"/>
      <c r="D164" s="2"/>
    </row>
    <row r="165" spans="3:4" ht="12.3">
      <c r="C165" s="1"/>
      <c r="D165" s="2"/>
    </row>
    <row r="166" spans="3:4" ht="12.3">
      <c r="C166" s="1"/>
      <c r="D166" s="2"/>
    </row>
    <row r="167" spans="3:4" ht="12.3">
      <c r="C167" s="1"/>
      <c r="D167" s="2"/>
    </row>
    <row r="168" spans="3:4" ht="12.3">
      <c r="C168" s="1"/>
      <c r="D168" s="2"/>
    </row>
    <row r="169" spans="3:4" ht="12.3">
      <c r="C169" s="1"/>
      <c r="D169" s="2"/>
    </row>
    <row r="170" spans="3:4" ht="12.3">
      <c r="C170" s="1"/>
      <c r="D170" s="2"/>
    </row>
    <row r="171" spans="3:4" ht="12.3">
      <c r="C171" s="1"/>
      <c r="D171" s="2"/>
    </row>
    <row r="172" spans="3:4" ht="12.3">
      <c r="C172" s="1"/>
      <c r="D172" s="2"/>
    </row>
    <row r="173" spans="3:4" ht="12.3">
      <c r="C173" s="1"/>
      <c r="D173" s="2"/>
    </row>
    <row r="174" spans="3:4" ht="12.3">
      <c r="C174" s="1"/>
      <c r="D174" s="2"/>
    </row>
    <row r="175" spans="3:4" ht="12.3">
      <c r="C175" s="1"/>
      <c r="D175" s="2"/>
    </row>
    <row r="176" spans="3:4" ht="12.3">
      <c r="C176" s="1"/>
      <c r="D176" s="2"/>
    </row>
    <row r="177" spans="3:4" ht="12.3">
      <c r="C177" s="1"/>
      <c r="D177" s="2"/>
    </row>
    <row r="178" spans="3:4" ht="12.3">
      <c r="C178" s="1"/>
      <c r="D178" s="2"/>
    </row>
    <row r="179" spans="3:4" ht="12.3">
      <c r="C179" s="1"/>
      <c r="D179" s="2"/>
    </row>
    <row r="180" spans="3:4" ht="12.3">
      <c r="C180" s="1"/>
      <c r="D180" s="2"/>
    </row>
    <row r="181" spans="3:4" ht="12.3">
      <c r="C181" s="1"/>
      <c r="D181" s="2"/>
    </row>
    <row r="182" spans="3:4" ht="12.3">
      <c r="C182" s="1"/>
      <c r="D182" s="2"/>
    </row>
    <row r="183" spans="3:4" ht="12.3">
      <c r="C183" s="1"/>
      <c r="D183" s="2"/>
    </row>
    <row r="184" spans="3:4" ht="12.3">
      <c r="C184" s="1"/>
      <c r="D184" s="2"/>
    </row>
    <row r="185" spans="3:4" ht="12.3">
      <c r="C185" s="1"/>
      <c r="D185" s="2"/>
    </row>
    <row r="186" spans="3:4" ht="12.3">
      <c r="C186" s="1"/>
      <c r="D186" s="2"/>
    </row>
    <row r="187" spans="3:4" ht="12.3">
      <c r="C187" s="1"/>
      <c r="D187" s="2"/>
    </row>
    <row r="188" spans="3:4" ht="12.3">
      <c r="C188" s="1"/>
      <c r="D188" s="2"/>
    </row>
    <row r="189" spans="3:4" ht="12.3">
      <c r="C189" s="1"/>
      <c r="D189" s="2"/>
    </row>
    <row r="190" spans="3:4" ht="12.3">
      <c r="C190" s="1"/>
      <c r="D190" s="2"/>
    </row>
    <row r="191" spans="3:4" ht="12.3">
      <c r="C191" s="1"/>
      <c r="D191" s="2"/>
    </row>
    <row r="192" spans="3:4" ht="12.3">
      <c r="C192" s="1"/>
      <c r="D192" s="2"/>
    </row>
    <row r="193" spans="3:4" ht="12.3">
      <c r="C193" s="1"/>
      <c r="D193" s="2"/>
    </row>
    <row r="194" spans="3:4" ht="12.3">
      <c r="C194" s="1"/>
      <c r="D194" s="2"/>
    </row>
    <row r="195" spans="3:4" ht="12.3">
      <c r="C195" s="1"/>
      <c r="D195" s="2"/>
    </row>
    <row r="196" spans="3:4" ht="12.3">
      <c r="C196" s="1"/>
      <c r="D196" s="2"/>
    </row>
    <row r="197" spans="3:4" ht="12.3">
      <c r="C197" s="1"/>
      <c r="D197" s="2"/>
    </row>
    <row r="198" spans="3:4" ht="12.3">
      <c r="C198" s="1"/>
      <c r="D198" s="2"/>
    </row>
    <row r="199" spans="3:4" ht="12.3">
      <c r="C199" s="1"/>
      <c r="D199" s="2"/>
    </row>
    <row r="200" spans="3:4" ht="12.3">
      <c r="C200" s="1"/>
      <c r="D200" s="2"/>
    </row>
    <row r="201" spans="3:4" ht="12.3">
      <c r="C201" s="1"/>
      <c r="D201" s="2"/>
    </row>
    <row r="202" spans="3:4" ht="12.3">
      <c r="C202" s="1"/>
      <c r="D202" s="2"/>
    </row>
    <row r="203" spans="3:4" ht="12.3">
      <c r="C203" s="1"/>
      <c r="D203" s="2"/>
    </row>
    <row r="204" spans="3:4" ht="12.3">
      <c r="C204" s="1"/>
      <c r="D204" s="2"/>
    </row>
    <row r="205" spans="3:4" ht="12.3">
      <c r="C205" s="1"/>
      <c r="D205" s="2"/>
    </row>
    <row r="206" spans="3:4" ht="12.3">
      <c r="C206" s="1"/>
      <c r="D206" s="2"/>
    </row>
    <row r="207" spans="3:4" ht="12.3">
      <c r="C207" s="1"/>
      <c r="D207" s="2"/>
    </row>
    <row r="208" spans="3:4" ht="12.3">
      <c r="C208" s="1"/>
      <c r="D208" s="2"/>
    </row>
    <row r="209" spans="3:4" ht="12.3">
      <c r="C209" s="1"/>
      <c r="D209" s="2"/>
    </row>
    <row r="210" spans="3:4" ht="12.3">
      <c r="C210" s="1"/>
      <c r="D210" s="2"/>
    </row>
    <row r="211" spans="3:4" ht="12.3">
      <c r="C211" s="1"/>
      <c r="D211" s="2"/>
    </row>
    <row r="212" spans="3:4" ht="12.3">
      <c r="C212" s="1"/>
      <c r="D212" s="2"/>
    </row>
    <row r="213" spans="3:4" ht="12.3">
      <c r="C213" s="1"/>
      <c r="D213" s="2"/>
    </row>
    <row r="214" spans="3:4" ht="12.3">
      <c r="C214" s="1"/>
      <c r="D214" s="2"/>
    </row>
    <row r="215" spans="3:4" ht="12.3">
      <c r="C215" s="1"/>
      <c r="D215" s="2"/>
    </row>
    <row r="216" spans="3:4" ht="12.3">
      <c r="C216" s="1"/>
      <c r="D216" s="2"/>
    </row>
    <row r="217" spans="3:4" ht="12.3">
      <c r="C217" s="1"/>
      <c r="D217" s="2"/>
    </row>
    <row r="218" spans="3:4" ht="12.3">
      <c r="C218" s="1"/>
      <c r="D218" s="2"/>
    </row>
    <row r="219" spans="3:4" ht="12.3">
      <c r="C219" s="1"/>
      <c r="D219" s="2"/>
    </row>
    <row r="220" spans="3:4" ht="12.3">
      <c r="C220" s="1"/>
      <c r="D220" s="2"/>
    </row>
    <row r="221" spans="3:4" ht="12.3">
      <c r="C221" s="1"/>
      <c r="D221" s="2"/>
    </row>
    <row r="222" spans="3:4" ht="12.3">
      <c r="C222" s="1"/>
      <c r="D222" s="2"/>
    </row>
    <row r="223" spans="3:4" ht="12.3">
      <c r="C223" s="1"/>
      <c r="D223" s="2"/>
    </row>
    <row r="224" spans="3:4" ht="12.3">
      <c r="C224" s="1"/>
      <c r="D224" s="2"/>
    </row>
    <row r="225" spans="3:4" ht="12.3">
      <c r="C225" s="1"/>
      <c r="D225" s="2"/>
    </row>
    <row r="226" spans="3:4" ht="12.3">
      <c r="C226" s="1"/>
      <c r="D226" s="2"/>
    </row>
    <row r="227" spans="3:4" ht="12.3">
      <c r="C227" s="1"/>
      <c r="D227" s="2"/>
    </row>
    <row r="228" spans="3:4" ht="12.3">
      <c r="C228" s="1"/>
      <c r="D228" s="2"/>
    </row>
    <row r="229" spans="3:4" ht="12.3">
      <c r="C229" s="1"/>
      <c r="D229" s="2"/>
    </row>
    <row r="230" spans="3:4" ht="12.3">
      <c r="C230" s="1"/>
      <c r="D230" s="2"/>
    </row>
    <row r="231" spans="3:4" ht="12.3">
      <c r="C231" s="1"/>
      <c r="D231" s="2"/>
    </row>
    <row r="232" spans="3:4" ht="12.3">
      <c r="C232" s="1"/>
      <c r="D232" s="2"/>
    </row>
    <row r="233" spans="3:4" ht="12.3">
      <c r="C233" s="1"/>
      <c r="D233" s="2"/>
    </row>
    <row r="234" spans="3:4" ht="12.3">
      <c r="C234" s="1"/>
      <c r="D234" s="2"/>
    </row>
    <row r="235" spans="3:4" ht="12.3">
      <c r="C235" s="1"/>
      <c r="D235" s="2"/>
    </row>
    <row r="236" spans="3:4" ht="12.3">
      <c r="C236" s="1"/>
      <c r="D236" s="2"/>
    </row>
    <row r="237" spans="3:4" ht="12.3">
      <c r="C237" s="1"/>
      <c r="D237" s="2"/>
    </row>
    <row r="238" spans="3:4" ht="12.3">
      <c r="C238" s="1"/>
      <c r="D238" s="2"/>
    </row>
    <row r="239" spans="3:4" ht="12.3">
      <c r="C239" s="1"/>
      <c r="D239" s="2"/>
    </row>
    <row r="240" spans="3:4" ht="12.3">
      <c r="C240" s="1"/>
      <c r="D240" s="2"/>
    </row>
    <row r="241" spans="3:4" ht="12.3">
      <c r="C241" s="1"/>
      <c r="D241" s="2"/>
    </row>
    <row r="242" spans="3:4" ht="12.3">
      <c r="C242" s="1"/>
      <c r="D242" s="2"/>
    </row>
    <row r="243" spans="3:4" ht="12.3">
      <c r="C243" s="1"/>
      <c r="D243" s="2"/>
    </row>
    <row r="244" spans="3:4" ht="12.3">
      <c r="C244" s="1"/>
      <c r="D244" s="2"/>
    </row>
    <row r="245" spans="3:4" ht="12.3">
      <c r="C245" s="1"/>
      <c r="D245" s="2"/>
    </row>
    <row r="246" spans="3:4" ht="12.3">
      <c r="C246" s="1"/>
      <c r="D246" s="2"/>
    </row>
    <row r="247" spans="3:4" ht="12.3">
      <c r="C247" s="1"/>
      <c r="D247" s="2"/>
    </row>
    <row r="248" spans="3:4" ht="12.3">
      <c r="C248" s="1"/>
      <c r="D248" s="2"/>
    </row>
    <row r="249" spans="3:4" ht="12.3">
      <c r="C249" s="1"/>
      <c r="D249" s="2"/>
    </row>
    <row r="250" spans="3:4" ht="12.3">
      <c r="C250" s="1"/>
      <c r="D250" s="2"/>
    </row>
    <row r="251" spans="3:4" ht="12.3">
      <c r="C251" s="1"/>
      <c r="D251" s="2"/>
    </row>
    <row r="252" spans="3:4" ht="12.3">
      <c r="C252" s="1"/>
      <c r="D252" s="2"/>
    </row>
    <row r="253" spans="3:4" ht="12.3">
      <c r="C253" s="1"/>
      <c r="D253" s="2"/>
    </row>
    <row r="254" spans="3:4" ht="12.3">
      <c r="C254" s="1"/>
      <c r="D254" s="2"/>
    </row>
    <row r="255" spans="3:4" ht="12.3">
      <c r="C255" s="1"/>
      <c r="D255" s="2"/>
    </row>
    <row r="256" spans="3:4" ht="12.3">
      <c r="C256" s="1"/>
      <c r="D256" s="2"/>
    </row>
    <row r="257" spans="3:4" ht="12.3">
      <c r="C257" s="1"/>
      <c r="D257" s="2"/>
    </row>
    <row r="258" spans="3:4" ht="12.3">
      <c r="C258" s="1"/>
      <c r="D258" s="2"/>
    </row>
    <row r="259" spans="3:4" ht="12.3">
      <c r="C259" s="1"/>
      <c r="D259" s="2"/>
    </row>
    <row r="260" spans="3:4" ht="12.3">
      <c r="C260" s="1"/>
      <c r="D260" s="2"/>
    </row>
    <row r="261" spans="3:4" ht="12.3">
      <c r="C261" s="1"/>
      <c r="D261" s="2"/>
    </row>
    <row r="262" spans="3:4" ht="12.3">
      <c r="C262" s="1"/>
      <c r="D262" s="2"/>
    </row>
    <row r="263" spans="3:4" ht="12.3">
      <c r="C263" s="1"/>
      <c r="D263" s="2"/>
    </row>
    <row r="264" spans="3:4" ht="12.3">
      <c r="C264" s="1"/>
      <c r="D264" s="2"/>
    </row>
    <row r="265" spans="3:4" ht="12.3">
      <c r="C265" s="1"/>
      <c r="D265" s="2"/>
    </row>
    <row r="266" spans="3:4" ht="12.3">
      <c r="C266" s="1"/>
      <c r="D266" s="2"/>
    </row>
    <row r="267" spans="3:4" ht="12.3">
      <c r="C267" s="1"/>
      <c r="D267" s="2"/>
    </row>
    <row r="268" spans="3:4" ht="12.3">
      <c r="C268" s="1"/>
      <c r="D268" s="2"/>
    </row>
    <row r="269" spans="3:4" ht="12.3">
      <c r="C269" s="1"/>
      <c r="D269" s="2"/>
    </row>
    <row r="270" spans="3:4" ht="12.3">
      <c r="C270" s="1"/>
      <c r="D270" s="2"/>
    </row>
    <row r="271" spans="3:4" ht="12.3">
      <c r="C271" s="1"/>
      <c r="D271" s="2"/>
    </row>
    <row r="272" spans="3:4" ht="12.3">
      <c r="C272" s="1"/>
      <c r="D272" s="2"/>
    </row>
    <row r="273" spans="3:4" ht="12.3">
      <c r="C273" s="1"/>
      <c r="D273" s="2"/>
    </row>
    <row r="274" spans="3:4" ht="12.3">
      <c r="C274" s="1"/>
      <c r="D274" s="2"/>
    </row>
    <row r="275" spans="3:4" ht="12.3">
      <c r="C275" s="1"/>
      <c r="D275" s="2"/>
    </row>
    <row r="276" spans="3:4" ht="12.3">
      <c r="C276" s="1"/>
      <c r="D276" s="2"/>
    </row>
    <row r="277" spans="3:4" ht="12.3">
      <c r="C277" s="1"/>
      <c r="D277" s="2"/>
    </row>
    <row r="278" spans="3:4" ht="12.3">
      <c r="C278" s="1"/>
      <c r="D278" s="2"/>
    </row>
    <row r="279" spans="3:4" ht="12.3">
      <c r="C279" s="1"/>
      <c r="D279" s="2"/>
    </row>
    <row r="280" spans="3:4" ht="12.3">
      <c r="C280" s="1"/>
      <c r="D280" s="2"/>
    </row>
    <row r="281" spans="3:4" ht="12.3">
      <c r="C281" s="1"/>
      <c r="D281" s="2"/>
    </row>
    <row r="282" spans="3:4" ht="12.3">
      <c r="C282" s="1"/>
      <c r="D282" s="2"/>
    </row>
    <row r="283" spans="3:4" ht="12.3">
      <c r="C283" s="1"/>
      <c r="D283" s="2"/>
    </row>
    <row r="284" spans="3:4" ht="12.3">
      <c r="C284" s="1"/>
      <c r="D284" s="2"/>
    </row>
    <row r="285" spans="3:4" ht="12.3">
      <c r="C285" s="1"/>
      <c r="D285" s="2"/>
    </row>
    <row r="286" spans="3:4" ht="12.3">
      <c r="C286" s="1"/>
      <c r="D286" s="2"/>
    </row>
    <row r="287" spans="3:4" ht="12.3">
      <c r="C287" s="1"/>
      <c r="D287" s="2"/>
    </row>
    <row r="288" spans="3:4" ht="12.3">
      <c r="C288" s="1"/>
      <c r="D288" s="2"/>
    </row>
    <row r="289" spans="3:4" ht="12.3">
      <c r="C289" s="1"/>
      <c r="D289" s="2"/>
    </row>
    <row r="290" spans="3:4" ht="12.3">
      <c r="C290" s="1"/>
      <c r="D290" s="2"/>
    </row>
    <row r="291" spans="3:4" ht="12.3">
      <c r="C291" s="1"/>
      <c r="D291" s="2"/>
    </row>
    <row r="292" spans="3:4" ht="12.3">
      <c r="C292" s="1"/>
      <c r="D292" s="2"/>
    </row>
    <row r="293" spans="3:4" ht="12.3">
      <c r="C293" s="1"/>
      <c r="D293" s="2"/>
    </row>
    <row r="294" spans="3:4" ht="12.3">
      <c r="C294" s="1"/>
      <c r="D294" s="2"/>
    </row>
    <row r="295" spans="3:4" ht="12.3">
      <c r="C295" s="1"/>
      <c r="D295" s="2"/>
    </row>
    <row r="296" spans="3:4" ht="12.3">
      <c r="C296" s="1"/>
      <c r="D296" s="2"/>
    </row>
    <row r="297" spans="3:4" ht="12.3">
      <c r="C297" s="1"/>
      <c r="D297" s="2"/>
    </row>
    <row r="298" spans="3:4" ht="12.3">
      <c r="C298" s="1"/>
      <c r="D298" s="2"/>
    </row>
    <row r="299" spans="3:4" ht="12.3">
      <c r="C299" s="1"/>
      <c r="D299" s="2"/>
    </row>
    <row r="300" spans="3:4" ht="12.3">
      <c r="C300" s="1"/>
      <c r="D300" s="2"/>
    </row>
    <row r="301" spans="3:4" ht="12.3">
      <c r="C301" s="1"/>
      <c r="D301" s="2"/>
    </row>
    <row r="302" spans="3:4" ht="12.3">
      <c r="C302" s="1"/>
      <c r="D302" s="2"/>
    </row>
    <row r="303" spans="3:4" ht="12.3">
      <c r="C303" s="1"/>
      <c r="D303" s="2"/>
    </row>
    <row r="304" spans="3:4" ht="12.3">
      <c r="C304" s="1"/>
      <c r="D304" s="2"/>
    </row>
    <row r="305" spans="3:4" ht="12.3">
      <c r="C305" s="1"/>
      <c r="D305" s="2"/>
    </row>
    <row r="306" spans="3:4" ht="12.3">
      <c r="C306" s="1"/>
      <c r="D306" s="2"/>
    </row>
    <row r="307" spans="3:4" ht="12.3">
      <c r="C307" s="1"/>
      <c r="D307" s="2"/>
    </row>
    <row r="308" spans="3:4" ht="12.3">
      <c r="C308" s="1"/>
      <c r="D308" s="2"/>
    </row>
    <row r="309" spans="3:4" ht="12.3">
      <c r="C309" s="1"/>
      <c r="D309" s="2"/>
    </row>
    <row r="310" spans="3:4" ht="12.3">
      <c r="C310" s="1"/>
      <c r="D310" s="2"/>
    </row>
    <row r="311" spans="3:4" ht="12.3">
      <c r="C311" s="1"/>
      <c r="D311" s="2"/>
    </row>
    <row r="312" spans="3:4" ht="12.3">
      <c r="C312" s="1"/>
      <c r="D312" s="2"/>
    </row>
    <row r="313" spans="3:4" ht="12.3">
      <c r="C313" s="1"/>
      <c r="D313" s="2"/>
    </row>
    <row r="314" spans="3:4" ht="12.3">
      <c r="C314" s="1"/>
      <c r="D314" s="2"/>
    </row>
    <row r="315" spans="3:4" ht="12.3">
      <c r="C315" s="1"/>
      <c r="D315" s="2"/>
    </row>
    <row r="316" spans="3:4" ht="12.3">
      <c r="C316" s="1"/>
      <c r="D316" s="2"/>
    </row>
    <row r="317" spans="3:4" ht="12.3">
      <c r="C317" s="1"/>
      <c r="D317" s="2"/>
    </row>
    <row r="318" spans="3:4" ht="12.3">
      <c r="C318" s="1"/>
      <c r="D318" s="2"/>
    </row>
    <row r="319" spans="3:4" ht="12.3">
      <c r="C319" s="1"/>
      <c r="D319" s="2"/>
    </row>
    <row r="320" spans="3:4" ht="12.3">
      <c r="C320" s="1"/>
      <c r="D320" s="2"/>
    </row>
    <row r="321" spans="3:4" ht="12.3">
      <c r="C321" s="1"/>
      <c r="D321" s="2"/>
    </row>
    <row r="322" spans="3:4" ht="12.3">
      <c r="C322" s="1"/>
      <c r="D322" s="2"/>
    </row>
    <row r="323" spans="3:4" ht="12.3">
      <c r="C323" s="1"/>
      <c r="D323" s="2"/>
    </row>
    <row r="324" spans="3:4" ht="12.3">
      <c r="C324" s="1"/>
      <c r="D324" s="2"/>
    </row>
    <row r="325" spans="3:4" ht="12.3">
      <c r="C325" s="1"/>
      <c r="D325" s="2"/>
    </row>
    <row r="326" spans="3:4" ht="12.3">
      <c r="C326" s="1"/>
      <c r="D326" s="2"/>
    </row>
    <row r="327" spans="3:4" ht="12.3">
      <c r="C327" s="1"/>
      <c r="D327" s="2"/>
    </row>
    <row r="328" spans="3:4" ht="12.3">
      <c r="C328" s="1"/>
      <c r="D328" s="2"/>
    </row>
    <row r="329" spans="3:4" ht="12.3">
      <c r="C329" s="1"/>
      <c r="D329" s="2"/>
    </row>
    <row r="330" spans="3:4" ht="12.3">
      <c r="C330" s="1"/>
      <c r="D330" s="2"/>
    </row>
    <row r="331" spans="3:4" ht="12.3">
      <c r="C331" s="1"/>
      <c r="D331" s="2"/>
    </row>
    <row r="332" spans="3:4" ht="12.3">
      <c r="C332" s="1"/>
      <c r="D332" s="2"/>
    </row>
    <row r="333" spans="3:4" ht="12.3">
      <c r="C333" s="1"/>
      <c r="D333" s="2"/>
    </row>
    <row r="334" spans="3:4" ht="12.3">
      <c r="C334" s="1"/>
      <c r="D334" s="2"/>
    </row>
    <row r="335" spans="3:4" ht="12.3">
      <c r="C335" s="1"/>
      <c r="D335" s="2"/>
    </row>
    <row r="336" spans="3:4" ht="12.3">
      <c r="C336" s="1"/>
      <c r="D336" s="2"/>
    </row>
    <row r="337" spans="3:4" ht="12.3">
      <c r="C337" s="1"/>
      <c r="D337" s="2"/>
    </row>
    <row r="338" spans="3:4" ht="12.3">
      <c r="C338" s="1"/>
      <c r="D338" s="2"/>
    </row>
    <row r="339" spans="3:4" ht="12.3">
      <c r="C339" s="1"/>
      <c r="D339" s="2"/>
    </row>
    <row r="340" spans="3:4" ht="12.3">
      <c r="C340" s="1"/>
      <c r="D340" s="2"/>
    </row>
    <row r="341" spans="3:4" ht="12.3">
      <c r="C341" s="1"/>
      <c r="D341" s="2"/>
    </row>
    <row r="342" spans="3:4" ht="12.3">
      <c r="C342" s="1"/>
      <c r="D342" s="2"/>
    </row>
    <row r="343" spans="3:4" ht="12.3">
      <c r="C343" s="1"/>
      <c r="D343" s="2"/>
    </row>
    <row r="344" spans="3:4" ht="12.3">
      <c r="C344" s="1"/>
      <c r="D344" s="2"/>
    </row>
    <row r="345" spans="3:4" ht="12.3">
      <c r="C345" s="1"/>
      <c r="D345" s="2"/>
    </row>
    <row r="346" spans="3:4" ht="12.3">
      <c r="C346" s="1"/>
      <c r="D346" s="2"/>
    </row>
    <row r="347" spans="3:4" ht="12.3">
      <c r="C347" s="1"/>
      <c r="D347" s="2"/>
    </row>
    <row r="348" spans="3:4" ht="12.3">
      <c r="C348" s="1"/>
      <c r="D348" s="2"/>
    </row>
    <row r="349" spans="3:4" ht="12.3">
      <c r="C349" s="1"/>
      <c r="D349" s="2"/>
    </row>
    <row r="350" spans="3:4" ht="12.3">
      <c r="C350" s="1"/>
      <c r="D350" s="2"/>
    </row>
    <row r="351" spans="3:4" ht="12.3">
      <c r="C351" s="1"/>
      <c r="D351" s="2"/>
    </row>
    <row r="352" spans="3:4" ht="12.3">
      <c r="C352" s="1"/>
      <c r="D352" s="2"/>
    </row>
    <row r="353" spans="3:4" ht="12.3">
      <c r="C353" s="1"/>
      <c r="D353" s="2"/>
    </row>
    <row r="354" spans="3:4" ht="12.3">
      <c r="C354" s="1"/>
      <c r="D354" s="2"/>
    </row>
    <row r="355" spans="3:4" ht="12.3">
      <c r="C355" s="1"/>
      <c r="D355" s="2"/>
    </row>
    <row r="356" spans="3:4" ht="12.3">
      <c r="C356" s="1"/>
      <c r="D356" s="2"/>
    </row>
    <row r="357" spans="3:4" ht="12.3">
      <c r="C357" s="1"/>
      <c r="D357" s="2"/>
    </row>
    <row r="358" spans="3:4" ht="12.3">
      <c r="C358" s="1"/>
      <c r="D358" s="2"/>
    </row>
    <row r="359" spans="3:4" ht="12.3">
      <c r="C359" s="1"/>
      <c r="D359" s="2"/>
    </row>
    <row r="360" spans="3:4" ht="12.3">
      <c r="C360" s="1"/>
      <c r="D360" s="2"/>
    </row>
    <row r="361" spans="3:4" ht="12.3">
      <c r="C361" s="1"/>
      <c r="D361" s="2"/>
    </row>
    <row r="362" spans="3:4" ht="12.3">
      <c r="C362" s="1"/>
      <c r="D362" s="2"/>
    </row>
    <row r="363" spans="3:4" ht="12.3">
      <c r="C363" s="1"/>
      <c r="D363" s="2"/>
    </row>
    <row r="364" spans="3:4" ht="12.3">
      <c r="C364" s="1"/>
      <c r="D364" s="2"/>
    </row>
    <row r="365" spans="3:4" ht="12.3">
      <c r="C365" s="1"/>
      <c r="D365" s="2"/>
    </row>
    <row r="366" spans="3:4" ht="12.3">
      <c r="C366" s="1"/>
      <c r="D366" s="2"/>
    </row>
    <row r="367" spans="3:4" ht="12.3">
      <c r="C367" s="1"/>
      <c r="D367" s="2"/>
    </row>
    <row r="368" spans="3:4" ht="12.3">
      <c r="C368" s="1"/>
      <c r="D368" s="2"/>
    </row>
    <row r="369" spans="3:4" ht="12.3">
      <c r="C369" s="1"/>
      <c r="D369" s="2"/>
    </row>
    <row r="370" spans="3:4" ht="12.3">
      <c r="C370" s="1"/>
      <c r="D370" s="2"/>
    </row>
    <row r="371" spans="3:4" ht="12.3">
      <c r="C371" s="1"/>
      <c r="D371" s="2"/>
    </row>
    <row r="372" spans="3:4" ht="12.3">
      <c r="C372" s="1"/>
      <c r="D372" s="2"/>
    </row>
    <row r="373" spans="3:4" ht="12.3">
      <c r="C373" s="1"/>
      <c r="D373" s="2"/>
    </row>
    <row r="374" spans="3:4" ht="12.3">
      <c r="C374" s="1"/>
      <c r="D374" s="2"/>
    </row>
    <row r="375" spans="3:4" ht="12.3">
      <c r="C375" s="1"/>
      <c r="D375" s="2"/>
    </row>
    <row r="376" spans="3:4" ht="12.3">
      <c r="C376" s="1"/>
      <c r="D376" s="2"/>
    </row>
    <row r="377" spans="3:4" ht="12.3">
      <c r="C377" s="1"/>
      <c r="D377" s="2"/>
    </row>
    <row r="378" spans="3:4" ht="12.3">
      <c r="C378" s="1"/>
      <c r="D378" s="2"/>
    </row>
    <row r="379" spans="3:4" ht="12.3">
      <c r="C379" s="1"/>
      <c r="D379" s="2"/>
    </row>
    <row r="380" spans="3:4" ht="12.3">
      <c r="C380" s="1"/>
      <c r="D380" s="2"/>
    </row>
    <row r="381" spans="3:4" ht="12.3">
      <c r="C381" s="1"/>
      <c r="D381" s="2"/>
    </row>
    <row r="382" spans="3:4" ht="12.3">
      <c r="C382" s="1"/>
      <c r="D382" s="2"/>
    </row>
    <row r="383" spans="3:4" ht="12.3">
      <c r="C383" s="1"/>
      <c r="D383" s="2"/>
    </row>
    <row r="384" spans="3:4" ht="12.3">
      <c r="C384" s="1"/>
      <c r="D384" s="2"/>
    </row>
    <row r="385" spans="3:4" ht="12.3">
      <c r="C385" s="1"/>
      <c r="D385" s="2"/>
    </row>
    <row r="386" spans="3:4" ht="12.3">
      <c r="C386" s="1"/>
      <c r="D386" s="2"/>
    </row>
    <row r="387" spans="3:4" ht="12.3">
      <c r="C387" s="1"/>
      <c r="D387" s="2"/>
    </row>
    <row r="388" spans="3:4" ht="12.3">
      <c r="C388" s="1"/>
      <c r="D388" s="2"/>
    </row>
    <row r="389" spans="3:4" ht="12.3">
      <c r="C389" s="1"/>
      <c r="D389" s="2"/>
    </row>
    <row r="390" spans="3:4" ht="12.3">
      <c r="C390" s="1"/>
      <c r="D390" s="2"/>
    </row>
    <row r="391" spans="3:4" ht="12.3">
      <c r="C391" s="1"/>
      <c r="D391" s="2"/>
    </row>
    <row r="392" spans="3:4" ht="12.3">
      <c r="C392" s="1"/>
      <c r="D392" s="2"/>
    </row>
    <row r="393" spans="3:4" ht="12.3">
      <c r="C393" s="1"/>
      <c r="D393" s="2"/>
    </row>
    <row r="394" spans="3:4" ht="12.3">
      <c r="C394" s="1"/>
      <c r="D394" s="2"/>
    </row>
    <row r="395" spans="3:4" ht="12.3">
      <c r="C395" s="1"/>
      <c r="D395" s="2"/>
    </row>
    <row r="396" spans="3:4" ht="12.3">
      <c r="C396" s="1"/>
      <c r="D396" s="2"/>
    </row>
    <row r="397" spans="3:4" ht="12.3">
      <c r="C397" s="1"/>
      <c r="D397" s="2"/>
    </row>
    <row r="398" spans="3:4" ht="12.3">
      <c r="C398" s="1"/>
      <c r="D398" s="2"/>
    </row>
    <row r="399" spans="3:4" ht="12.3">
      <c r="C399" s="1"/>
      <c r="D399" s="2"/>
    </row>
    <row r="400" spans="3:4" ht="12.3">
      <c r="C400" s="1"/>
      <c r="D400" s="3"/>
    </row>
    <row r="401" spans="3:4" ht="12.3">
      <c r="C401" s="1"/>
      <c r="D401" s="2"/>
    </row>
    <row r="402" spans="3:4" ht="12.3">
      <c r="C402" s="1"/>
      <c r="D402" s="2"/>
    </row>
    <row r="403" spans="3:4" ht="12.3">
      <c r="C403" s="1"/>
      <c r="D403" s="2"/>
    </row>
    <row r="404" spans="3:4" ht="12.3">
      <c r="C404" s="1"/>
      <c r="D404" s="2"/>
    </row>
    <row r="405" spans="3:4" ht="12.3">
      <c r="C405" s="1"/>
      <c r="D405" s="2"/>
    </row>
    <row r="406" spans="3:4" ht="12.3">
      <c r="C406" s="1"/>
      <c r="D406" s="2"/>
    </row>
    <row r="407" spans="3:4" ht="12.3">
      <c r="C407" s="1"/>
      <c r="D407" s="2"/>
    </row>
    <row r="408" spans="3:4" ht="12.3">
      <c r="C408" s="1"/>
      <c r="D408" s="2"/>
    </row>
    <row r="409" spans="3:4" ht="12.3">
      <c r="C409" s="1"/>
      <c r="D409" s="2"/>
    </row>
    <row r="410" spans="3:4" ht="12.3">
      <c r="C410" s="1"/>
      <c r="D410" s="2"/>
    </row>
    <row r="411" spans="3:4" ht="12.3">
      <c r="C411" s="1"/>
      <c r="D411" s="2"/>
    </row>
    <row r="412" spans="3:4" ht="12.3">
      <c r="C412" s="1"/>
      <c r="D412" s="2"/>
    </row>
    <row r="413" spans="3:4" ht="12.3">
      <c r="C413" s="1"/>
      <c r="D413" s="2"/>
    </row>
    <row r="414" spans="3:4" ht="12.3">
      <c r="C414" s="1"/>
      <c r="D414" s="2"/>
    </row>
    <row r="415" spans="3:4" ht="12.3">
      <c r="C415" s="1"/>
      <c r="D415" s="2"/>
    </row>
    <row r="416" spans="3:4" ht="12.3">
      <c r="C416" s="1"/>
      <c r="D416" s="2"/>
    </row>
    <row r="417" spans="3:4" ht="12.3">
      <c r="C417" s="1"/>
      <c r="D417" s="2"/>
    </row>
    <row r="418" spans="3:4" ht="12.3">
      <c r="C418" s="1"/>
      <c r="D418" s="2"/>
    </row>
    <row r="419" spans="3:4" ht="12.3">
      <c r="C419" s="1"/>
      <c r="D419" s="2"/>
    </row>
    <row r="420" spans="3:4" ht="12.3">
      <c r="C420" s="1"/>
      <c r="D420" s="2"/>
    </row>
    <row r="421" spans="3:4" ht="12.3">
      <c r="C421" s="1"/>
      <c r="D421" s="2"/>
    </row>
    <row r="422" spans="3:4" ht="12.3">
      <c r="C422" s="1"/>
      <c r="D422" s="2"/>
    </row>
    <row r="423" spans="3:4" ht="12.3">
      <c r="C423" s="1"/>
      <c r="D423" s="2"/>
    </row>
    <row r="424" spans="3:4" ht="12.3">
      <c r="C424" s="1"/>
      <c r="D424" s="2"/>
    </row>
    <row r="425" spans="3:4" ht="12.3">
      <c r="C425" s="1"/>
      <c r="D425" s="2"/>
    </row>
    <row r="426" spans="3:4" ht="12.3">
      <c r="C426" s="1"/>
      <c r="D426" s="2"/>
    </row>
    <row r="427" spans="3:4" ht="12.3">
      <c r="C427" s="1"/>
      <c r="D427" s="2"/>
    </row>
    <row r="428" spans="3:4" ht="12.3">
      <c r="C428" s="1"/>
      <c r="D428" s="2"/>
    </row>
    <row r="429" spans="3:4" ht="12.3">
      <c r="C429" s="1"/>
      <c r="D429" s="2"/>
    </row>
    <row r="430" spans="3:4" ht="12.3">
      <c r="C430" s="1"/>
      <c r="D430" s="2"/>
    </row>
    <row r="431" spans="3:4" ht="12.3">
      <c r="C431" s="1"/>
      <c r="D431" s="2"/>
    </row>
    <row r="432" spans="3:4" ht="12.3">
      <c r="C432" s="1"/>
      <c r="D432" s="2"/>
    </row>
    <row r="433" spans="3:4" ht="12.3">
      <c r="C433" s="1"/>
      <c r="D433" s="2"/>
    </row>
    <row r="434" spans="3:4" ht="12.3">
      <c r="C434" s="1"/>
      <c r="D434" s="2"/>
    </row>
    <row r="435" spans="3:4" ht="12.3">
      <c r="C435" s="1"/>
      <c r="D435" s="2"/>
    </row>
    <row r="436" spans="3:4" ht="12.3">
      <c r="C436" s="1"/>
      <c r="D436" s="2"/>
    </row>
    <row r="437" spans="3:4" ht="12.3">
      <c r="C437" s="1"/>
      <c r="D437" s="2"/>
    </row>
    <row r="438" spans="3:4" ht="12.3">
      <c r="C438" s="1"/>
      <c r="D438" s="2"/>
    </row>
    <row r="439" spans="3:4" ht="12.3">
      <c r="C439" s="1"/>
      <c r="D439" s="2"/>
    </row>
    <row r="440" spans="3:4" ht="12.3">
      <c r="C440" s="1"/>
      <c r="D440" s="2"/>
    </row>
    <row r="441" spans="3:4" ht="12.3">
      <c r="C441" s="1"/>
      <c r="D441" s="2"/>
    </row>
    <row r="442" spans="3:4" ht="12.3">
      <c r="C442" s="1"/>
      <c r="D442" s="2"/>
    </row>
    <row r="443" spans="3:4" ht="12.3">
      <c r="C443" s="1"/>
      <c r="D443" s="2"/>
    </row>
    <row r="444" spans="3:4" ht="12.3">
      <c r="C444" s="1"/>
      <c r="D444" s="2"/>
    </row>
    <row r="445" spans="3:4" ht="12.3">
      <c r="C445" s="1"/>
      <c r="D445" s="2"/>
    </row>
    <row r="446" spans="3:4" ht="12.3">
      <c r="C446" s="1"/>
      <c r="D446" s="2"/>
    </row>
    <row r="447" spans="3:4" ht="12.3">
      <c r="C447" s="1"/>
      <c r="D447" s="2"/>
    </row>
    <row r="448" spans="3:4" ht="12.3">
      <c r="C448" s="1"/>
      <c r="D448" s="2"/>
    </row>
    <row r="449" spans="3:4" ht="12.3">
      <c r="C449" s="1"/>
      <c r="D449" s="2"/>
    </row>
    <row r="450" spans="3:4" ht="12.3">
      <c r="C450" s="1"/>
      <c r="D450" s="2"/>
    </row>
    <row r="451" spans="3:4" ht="12.3">
      <c r="C451" s="1"/>
      <c r="D451" s="2"/>
    </row>
    <row r="452" spans="3:4" ht="12.3">
      <c r="C452" s="1"/>
      <c r="D452" s="2"/>
    </row>
    <row r="453" spans="3:4" ht="12.3">
      <c r="C453" s="1"/>
      <c r="D453" s="2"/>
    </row>
    <row r="454" spans="3:4" ht="12.3">
      <c r="C454" s="1"/>
      <c r="D454" s="2"/>
    </row>
    <row r="455" spans="3:4" ht="12.3">
      <c r="C455" s="1"/>
      <c r="D455" s="2"/>
    </row>
    <row r="456" spans="3:4" ht="12.3">
      <c r="C456" s="1"/>
      <c r="D456" s="2"/>
    </row>
    <row r="457" spans="3:4" ht="12.3">
      <c r="C457" s="1"/>
      <c r="D457" s="2"/>
    </row>
    <row r="458" spans="3:4" ht="12.3">
      <c r="C458" s="1"/>
      <c r="D458" s="2"/>
    </row>
    <row r="459" spans="3:4" ht="12.3">
      <c r="C459" s="1"/>
      <c r="D459" s="2"/>
    </row>
    <row r="460" spans="3:4" ht="12.3">
      <c r="C460" s="1"/>
      <c r="D460" s="2"/>
    </row>
    <row r="461" spans="3:4" ht="12.3">
      <c r="C461" s="1"/>
      <c r="D461" s="2"/>
    </row>
    <row r="462" spans="3:4" ht="12.3">
      <c r="C462" s="1"/>
      <c r="D462" s="2"/>
    </row>
    <row r="463" spans="3:4" ht="12.3">
      <c r="C463" s="1"/>
      <c r="D463" s="2"/>
    </row>
    <row r="464" spans="3:4" ht="12.3">
      <c r="C464" s="1"/>
      <c r="D464" s="2"/>
    </row>
    <row r="465" spans="3:4" ht="12.3">
      <c r="C465" s="1"/>
      <c r="D465" s="2"/>
    </row>
    <row r="466" spans="3:4" ht="12.3">
      <c r="C466" s="1"/>
      <c r="D466" s="2"/>
    </row>
    <row r="467" spans="3:4" ht="12.3">
      <c r="C467" s="1"/>
      <c r="D467" s="2"/>
    </row>
    <row r="468" spans="3:4" ht="12.3">
      <c r="C468" s="1"/>
      <c r="D468" s="2"/>
    </row>
    <row r="469" spans="3:4" ht="12.3">
      <c r="C469" s="1"/>
      <c r="D469" s="2"/>
    </row>
    <row r="470" spans="3:4" ht="12.3">
      <c r="C470" s="1"/>
      <c r="D470" s="2"/>
    </row>
    <row r="471" spans="3:4" ht="12.3">
      <c r="C471" s="1"/>
      <c r="D471" s="2"/>
    </row>
    <row r="472" spans="3:4" ht="12.3">
      <c r="C472" s="1"/>
      <c r="D472" s="2"/>
    </row>
    <row r="473" spans="3:4" ht="12.3">
      <c r="C473" s="1"/>
      <c r="D473" s="2"/>
    </row>
    <row r="474" spans="3:4" ht="12.3">
      <c r="C474" s="1"/>
      <c r="D474" s="2"/>
    </row>
    <row r="475" spans="3:4" ht="12.3">
      <c r="C475" s="1"/>
      <c r="D475" s="2"/>
    </row>
    <row r="476" spans="3:4" ht="12.3">
      <c r="C476" s="1"/>
      <c r="D476" s="2"/>
    </row>
    <row r="477" spans="3:4" ht="12.3">
      <c r="C477" s="1"/>
      <c r="D477" s="2"/>
    </row>
    <row r="478" spans="3:4" ht="12.3">
      <c r="C478" s="1"/>
      <c r="D478" s="2"/>
    </row>
    <row r="479" spans="3:4" ht="12.3">
      <c r="C479" s="1"/>
      <c r="D479" s="2"/>
    </row>
    <row r="480" spans="3:4" ht="12.3">
      <c r="C480" s="1"/>
      <c r="D480" s="2"/>
    </row>
    <row r="481" spans="3:4" ht="12.3">
      <c r="C481" s="1"/>
      <c r="D481" s="2"/>
    </row>
    <row r="482" spans="3:4" ht="12.3">
      <c r="C482" s="1"/>
      <c r="D482" s="2"/>
    </row>
    <row r="483" spans="3:4" ht="12.3">
      <c r="C483" s="1"/>
      <c r="D483" s="2"/>
    </row>
    <row r="484" spans="3:4" ht="12.3">
      <c r="C484" s="1"/>
      <c r="D484" s="2"/>
    </row>
    <row r="485" spans="3:4" ht="12.3">
      <c r="C485" s="1"/>
      <c r="D485" s="2"/>
    </row>
    <row r="486" spans="3:4" ht="12.3">
      <c r="C486" s="1"/>
      <c r="D486" s="2"/>
    </row>
    <row r="487" spans="3:4" ht="12.3">
      <c r="C487" s="1"/>
      <c r="D487" s="2"/>
    </row>
    <row r="488" spans="3:4" ht="12.3">
      <c r="C488" s="1"/>
      <c r="D488" s="2"/>
    </row>
    <row r="489" spans="3:4" ht="12.3">
      <c r="C489" s="1"/>
      <c r="D489" s="2"/>
    </row>
    <row r="490" spans="3:4" ht="12.3">
      <c r="C490" s="1"/>
      <c r="D490" s="2"/>
    </row>
    <row r="491" spans="3:4" ht="12.3">
      <c r="C491" s="1"/>
      <c r="D491" s="2"/>
    </row>
    <row r="492" spans="3:4" ht="12.3">
      <c r="C492" s="1"/>
      <c r="D492" s="2"/>
    </row>
    <row r="493" spans="3:4" ht="12.3">
      <c r="C493" s="1"/>
      <c r="D493" s="2"/>
    </row>
    <row r="494" spans="3:4" ht="12.3">
      <c r="C494" s="1"/>
      <c r="D494" s="2"/>
    </row>
    <row r="495" spans="3:4" ht="12.3">
      <c r="C495" s="1"/>
      <c r="D495" s="2"/>
    </row>
    <row r="496" spans="3:4" ht="12.3">
      <c r="C496" s="1"/>
      <c r="D496" s="2"/>
    </row>
    <row r="497" spans="3:4" ht="12.3">
      <c r="C497" s="1"/>
      <c r="D497" s="2"/>
    </row>
    <row r="498" spans="3:4" ht="12.3">
      <c r="C498" s="1"/>
      <c r="D498" s="2"/>
    </row>
    <row r="499" spans="3:4" ht="12.3">
      <c r="C499" s="1"/>
      <c r="D499" s="2"/>
    </row>
    <row r="500" spans="3:4" ht="12.3">
      <c r="C500" s="1"/>
      <c r="D500" s="2"/>
    </row>
    <row r="501" spans="3:4" ht="12.3">
      <c r="C501" s="1"/>
      <c r="D501" s="2"/>
    </row>
    <row r="502" spans="3:4" ht="12.3">
      <c r="C502" s="1"/>
      <c r="D502" s="2"/>
    </row>
    <row r="503" spans="3:4" ht="12.3">
      <c r="C503" s="1"/>
      <c r="D503" s="2"/>
    </row>
    <row r="504" spans="3:4" ht="12.3">
      <c r="C504" s="1"/>
      <c r="D504" s="2"/>
    </row>
    <row r="505" spans="3:4" ht="12.3">
      <c r="C505" s="1"/>
      <c r="D505" s="2"/>
    </row>
    <row r="506" spans="3:4" ht="12.3">
      <c r="C506" s="1"/>
      <c r="D506" s="2"/>
    </row>
    <row r="507" spans="3:4" ht="12.3">
      <c r="C507" s="1"/>
      <c r="D507" s="2"/>
    </row>
    <row r="508" spans="3:4" ht="12.3">
      <c r="C508" s="1"/>
      <c r="D508" s="2"/>
    </row>
    <row r="509" spans="3:4" ht="12.3">
      <c r="C509" s="1"/>
      <c r="D509" s="2"/>
    </row>
    <row r="510" spans="3:4" ht="12.3">
      <c r="C510" s="1"/>
      <c r="D510" s="2"/>
    </row>
    <row r="511" spans="3:4" ht="12.3">
      <c r="C511" s="1"/>
      <c r="D511" s="2"/>
    </row>
    <row r="512" spans="3:4" ht="12.3">
      <c r="C512" s="1"/>
      <c r="D512" s="2"/>
    </row>
    <row r="513" spans="3:4" ht="12.3">
      <c r="C513" s="1"/>
      <c r="D513" s="2"/>
    </row>
    <row r="514" spans="3:4" ht="12.3">
      <c r="C514" s="1"/>
      <c r="D514" s="2"/>
    </row>
    <row r="515" spans="3:4" ht="12.3">
      <c r="C515" s="1"/>
      <c r="D515" s="2"/>
    </row>
    <row r="516" spans="3:4" ht="12.3">
      <c r="C516" s="1"/>
      <c r="D516" s="2"/>
    </row>
    <row r="517" spans="3:4" ht="12.3">
      <c r="C517" s="1"/>
      <c r="D517" s="2"/>
    </row>
    <row r="518" spans="3:4" ht="12.3">
      <c r="C518" s="1"/>
      <c r="D518" s="2"/>
    </row>
    <row r="519" spans="3:4" ht="12.3">
      <c r="C519" s="1"/>
      <c r="D519" s="2"/>
    </row>
    <row r="520" spans="3:4" ht="12.3">
      <c r="C520" s="1"/>
      <c r="D520" s="2"/>
    </row>
    <row r="521" spans="3:4" ht="12.3">
      <c r="C521" s="1"/>
      <c r="D521" s="2"/>
    </row>
    <row r="522" spans="3:4" ht="12.3">
      <c r="C522" s="1"/>
      <c r="D522" s="2"/>
    </row>
    <row r="523" spans="3:4" ht="12.3">
      <c r="C523" s="1"/>
      <c r="D523" s="2"/>
    </row>
    <row r="524" spans="3:4" ht="12.3">
      <c r="C524" s="1"/>
      <c r="D524" s="2"/>
    </row>
    <row r="525" spans="3:4" ht="12.3">
      <c r="C525" s="1"/>
      <c r="D525" s="2"/>
    </row>
    <row r="526" spans="3:4" ht="12.3">
      <c r="C526" s="1"/>
      <c r="D526" s="2"/>
    </row>
    <row r="527" spans="3:4" ht="12.3">
      <c r="C527" s="1"/>
      <c r="D527" s="2"/>
    </row>
    <row r="528" spans="3:4" ht="12.3">
      <c r="C528" s="1"/>
      <c r="D528" s="2"/>
    </row>
    <row r="529" spans="3:4" ht="12.3">
      <c r="C529" s="1"/>
      <c r="D529" s="2"/>
    </row>
    <row r="530" spans="3:4" ht="12.3">
      <c r="C530" s="1"/>
      <c r="D530" s="2"/>
    </row>
    <row r="531" spans="3:4" ht="12.3">
      <c r="C531" s="1"/>
      <c r="D531" s="2"/>
    </row>
    <row r="532" spans="3:4" ht="12.3">
      <c r="C532" s="1"/>
      <c r="D532" s="2"/>
    </row>
    <row r="533" spans="3:4" ht="12.3">
      <c r="C533" s="1"/>
      <c r="D533" s="2"/>
    </row>
    <row r="534" spans="3:4" ht="12.3">
      <c r="C534" s="1"/>
      <c r="D534" s="2"/>
    </row>
    <row r="535" spans="3:4" ht="12.3">
      <c r="C535" s="1"/>
      <c r="D535" s="2"/>
    </row>
    <row r="536" spans="3:4" ht="12.3">
      <c r="C536" s="1"/>
      <c r="D536" s="2"/>
    </row>
    <row r="537" spans="3:4" ht="12.3">
      <c r="C537" s="1"/>
      <c r="D537" s="2"/>
    </row>
    <row r="538" spans="3:4" ht="12.3">
      <c r="C538" s="1"/>
      <c r="D538" s="2"/>
    </row>
    <row r="539" spans="3:4" ht="12.3">
      <c r="C539" s="1"/>
      <c r="D539" s="2"/>
    </row>
    <row r="540" spans="3:4" ht="12.3">
      <c r="C540" s="1"/>
      <c r="D540" s="2"/>
    </row>
    <row r="541" spans="3:4" ht="12.3">
      <c r="C541" s="1"/>
      <c r="D541" s="2"/>
    </row>
    <row r="542" spans="3:4" ht="12.3">
      <c r="C542" s="1"/>
      <c r="D542" s="2"/>
    </row>
    <row r="543" spans="3:4" ht="12.3">
      <c r="C543" s="1"/>
      <c r="D543" s="2"/>
    </row>
    <row r="544" spans="3:4" ht="12.3">
      <c r="C544" s="1"/>
      <c r="D544" s="2"/>
    </row>
    <row r="545" spans="3:4" ht="12.3">
      <c r="C545" s="1"/>
      <c r="D545" s="2"/>
    </row>
    <row r="546" spans="3:4" ht="12.3">
      <c r="C546" s="1"/>
      <c r="D546" s="2"/>
    </row>
    <row r="547" spans="3:4" ht="12.3">
      <c r="C547" s="1"/>
      <c r="D547" s="2"/>
    </row>
    <row r="548" spans="3:4" ht="12.3">
      <c r="C548" s="1"/>
      <c r="D548" s="2"/>
    </row>
    <row r="549" spans="3:4" ht="12.3">
      <c r="C549" s="1"/>
      <c r="D549" s="2"/>
    </row>
    <row r="550" spans="3:4" ht="12.3">
      <c r="C550" s="1"/>
      <c r="D550" s="2"/>
    </row>
    <row r="551" spans="3:4" ht="12.3">
      <c r="C551" s="1"/>
      <c r="D551" s="2"/>
    </row>
    <row r="552" spans="3:4" ht="12.3">
      <c r="C552" s="1"/>
      <c r="D552" s="2"/>
    </row>
    <row r="553" spans="3:4" ht="12.3">
      <c r="C553" s="1"/>
      <c r="D553" s="2"/>
    </row>
    <row r="554" spans="3:4" ht="12.3">
      <c r="C554" s="1"/>
      <c r="D554" s="2"/>
    </row>
    <row r="555" spans="3:4" ht="12.3">
      <c r="C555" s="1"/>
      <c r="D555" s="2"/>
    </row>
    <row r="556" spans="3:4" ht="12.3">
      <c r="C556" s="1"/>
      <c r="D556" s="2"/>
    </row>
    <row r="557" spans="3:4" ht="12.3">
      <c r="C557" s="1"/>
      <c r="D557" s="2"/>
    </row>
    <row r="558" spans="3:4" ht="12.3">
      <c r="C558" s="1"/>
      <c r="D558" s="2"/>
    </row>
    <row r="559" spans="3:4" ht="12.3">
      <c r="C559" s="1"/>
      <c r="D559" s="2"/>
    </row>
    <row r="560" spans="3:4" ht="12.3">
      <c r="C560" s="1"/>
      <c r="D560" s="2"/>
    </row>
    <row r="561" spans="3:4" ht="12.3">
      <c r="C561" s="1"/>
      <c r="D561" s="2"/>
    </row>
    <row r="562" spans="3:4" ht="12.3">
      <c r="C562" s="1"/>
      <c r="D562" s="2"/>
    </row>
    <row r="563" spans="3:4" ht="12.3">
      <c r="C563" s="1"/>
      <c r="D563" s="2"/>
    </row>
    <row r="564" spans="3:4" ht="12.3">
      <c r="C564" s="1"/>
      <c r="D564" s="2"/>
    </row>
    <row r="565" spans="3:4" ht="12.3">
      <c r="C565" s="1"/>
      <c r="D565" s="2"/>
    </row>
    <row r="566" spans="3:4" ht="12.3">
      <c r="C566" s="1"/>
      <c r="D566" s="2"/>
    </row>
    <row r="567" spans="3:4" ht="12.3">
      <c r="C567" s="1"/>
      <c r="D567" s="2"/>
    </row>
    <row r="568" spans="3:4" ht="12.3">
      <c r="C568" s="1"/>
      <c r="D568" s="2"/>
    </row>
    <row r="569" spans="3:4" ht="12.3">
      <c r="C569" s="1"/>
      <c r="D569" s="2"/>
    </row>
    <row r="570" spans="3:4" ht="12.3">
      <c r="C570" s="1"/>
      <c r="D570" s="2"/>
    </row>
    <row r="571" spans="3:4" ht="12.3">
      <c r="C571" s="1"/>
      <c r="D571" s="2"/>
    </row>
    <row r="572" spans="3:4" ht="12.3">
      <c r="C572" s="1"/>
      <c r="D572" s="2"/>
    </row>
    <row r="573" spans="3:4" ht="12.3">
      <c r="C573" s="1"/>
      <c r="D573" s="2"/>
    </row>
    <row r="574" spans="3:4" ht="12.3">
      <c r="C574" s="1"/>
      <c r="D574" s="2"/>
    </row>
    <row r="575" spans="3:4" ht="12.3">
      <c r="C575" s="1"/>
      <c r="D575" s="2"/>
    </row>
    <row r="576" spans="3:4" ht="12.3">
      <c r="C576" s="1"/>
      <c r="D576" s="2"/>
    </row>
    <row r="577" spans="3:4" ht="12.3">
      <c r="C577" s="1"/>
      <c r="D577" s="2"/>
    </row>
    <row r="578" spans="3:4" ht="12.3">
      <c r="C578" s="1"/>
      <c r="D578" s="2"/>
    </row>
    <row r="579" spans="3:4" ht="12.3">
      <c r="C579" s="1"/>
      <c r="D579" s="2"/>
    </row>
    <row r="580" spans="3:4" ht="12.3">
      <c r="C580" s="1"/>
      <c r="D580" s="2"/>
    </row>
    <row r="581" spans="3:4" ht="12.3">
      <c r="C581" s="1"/>
      <c r="D581" s="2"/>
    </row>
    <row r="582" spans="3:4" ht="12.3">
      <c r="C582" s="1"/>
      <c r="D582" s="2"/>
    </row>
    <row r="583" spans="3:4" ht="12.3">
      <c r="C583" s="1"/>
      <c r="D583" s="2"/>
    </row>
    <row r="584" spans="3:4" ht="12.3">
      <c r="C584" s="1"/>
      <c r="D584" s="2"/>
    </row>
    <row r="585" spans="3:4" ht="12.3">
      <c r="C585" s="1"/>
      <c r="D585" s="2"/>
    </row>
    <row r="586" spans="3:4" ht="12.3">
      <c r="C586" s="1"/>
      <c r="D586" s="2"/>
    </row>
    <row r="587" spans="3:4" ht="12.3">
      <c r="C587" s="1"/>
      <c r="D587" s="2"/>
    </row>
    <row r="588" spans="3:4" ht="12.3">
      <c r="C588" s="1"/>
      <c r="D588" s="2"/>
    </row>
    <row r="589" spans="3:4" ht="12.3">
      <c r="C589" s="1"/>
      <c r="D589" s="2"/>
    </row>
    <row r="590" spans="3:4" ht="12.3">
      <c r="C590" s="1"/>
      <c r="D590" s="2"/>
    </row>
    <row r="591" spans="3:4" ht="12.3">
      <c r="C591" s="1"/>
      <c r="D591" s="2"/>
    </row>
    <row r="592" spans="3:4" ht="12.3">
      <c r="C592" s="1"/>
      <c r="D592" s="2"/>
    </row>
    <row r="593" spans="3:4" ht="12.3">
      <c r="C593" s="1"/>
      <c r="D593" s="2"/>
    </row>
    <row r="594" spans="3:4" ht="12.3">
      <c r="C594" s="1"/>
      <c r="D594" s="2"/>
    </row>
    <row r="595" spans="3:4" ht="12.3">
      <c r="C595" s="1"/>
      <c r="D595" s="2"/>
    </row>
    <row r="596" spans="3:4" ht="12.3">
      <c r="C596" s="1"/>
      <c r="D596" s="2"/>
    </row>
    <row r="597" spans="3:4" ht="12.3">
      <c r="C597" s="1"/>
      <c r="D597" s="2"/>
    </row>
    <row r="598" spans="3:4" ht="12.3">
      <c r="C598" s="1"/>
      <c r="D598" s="2"/>
    </row>
    <row r="599" spans="3:4" ht="12.3">
      <c r="C599" s="1"/>
      <c r="D599" s="2"/>
    </row>
    <row r="600" spans="3:4" ht="12.3">
      <c r="C600" s="1"/>
      <c r="D600" s="2"/>
    </row>
    <row r="601" spans="3:4" ht="12.3">
      <c r="C601" s="1"/>
      <c r="D601" s="2"/>
    </row>
    <row r="602" spans="3:4" ht="12.3">
      <c r="C602" s="1"/>
      <c r="D602" s="2"/>
    </row>
    <row r="603" spans="3:4" ht="12.3">
      <c r="C603" s="1"/>
      <c r="D603" s="2"/>
    </row>
    <row r="604" spans="3:4" ht="12.3">
      <c r="C604" s="1"/>
      <c r="D604" s="2"/>
    </row>
    <row r="605" spans="3:4" ht="12.3">
      <c r="C605" s="1"/>
      <c r="D605" s="2"/>
    </row>
    <row r="606" spans="3:4" ht="12.3">
      <c r="C606" s="1"/>
      <c r="D606" s="2"/>
    </row>
    <row r="607" spans="3:4" ht="12.3">
      <c r="C607" s="1"/>
      <c r="D607" s="2"/>
    </row>
    <row r="608" spans="3:4" ht="12.3">
      <c r="C608" s="1"/>
      <c r="D608" s="2"/>
    </row>
    <row r="609" spans="3:4" ht="12.3">
      <c r="C609" s="1"/>
      <c r="D609" s="2"/>
    </row>
    <row r="610" spans="3:4" ht="12.3">
      <c r="C610" s="1"/>
      <c r="D610" s="2"/>
    </row>
    <row r="611" spans="3:4" ht="12.3">
      <c r="C611" s="1"/>
      <c r="D611" s="2"/>
    </row>
    <row r="612" spans="3:4" ht="12.3">
      <c r="C612" s="1"/>
      <c r="D612" s="2"/>
    </row>
    <row r="613" spans="3:4" ht="12.3">
      <c r="C613" s="1"/>
      <c r="D613" s="2"/>
    </row>
    <row r="614" spans="3:4" ht="12.3">
      <c r="C614" s="1"/>
      <c r="D614" s="2"/>
    </row>
    <row r="615" spans="3:4" ht="12.3">
      <c r="C615" s="1"/>
      <c r="D615" s="2"/>
    </row>
    <row r="616" spans="3:4" ht="12.3">
      <c r="C616" s="1"/>
      <c r="D616" s="2"/>
    </row>
    <row r="617" spans="3:4" ht="12.3">
      <c r="C617" s="1"/>
      <c r="D617" s="2"/>
    </row>
    <row r="618" spans="3:4" ht="12.3">
      <c r="C618" s="1"/>
      <c r="D618" s="2"/>
    </row>
    <row r="619" spans="3:4" ht="12.3">
      <c r="C619" s="1"/>
      <c r="D619" s="2"/>
    </row>
    <row r="620" spans="3:4" ht="12.3">
      <c r="C620" s="1"/>
      <c r="D620" s="2"/>
    </row>
    <row r="621" spans="3:4" ht="12.3">
      <c r="C621" s="1"/>
      <c r="D621" s="2"/>
    </row>
    <row r="622" spans="3:4" ht="12.3">
      <c r="C622" s="1"/>
      <c r="D622" s="2"/>
    </row>
    <row r="623" spans="3:4" ht="12.3">
      <c r="C623" s="1"/>
      <c r="D623" s="2"/>
    </row>
    <row r="624" spans="3:4" ht="12.3">
      <c r="C624" s="1"/>
      <c r="D624" s="2"/>
    </row>
    <row r="625" spans="3:4" ht="12.3">
      <c r="C625" s="1"/>
      <c r="D625" s="2"/>
    </row>
    <row r="626" spans="3:4" ht="12.3">
      <c r="C626" s="1"/>
      <c r="D626" s="2"/>
    </row>
    <row r="627" spans="3:4" ht="12.3">
      <c r="C627" s="1"/>
      <c r="D627" s="2"/>
    </row>
    <row r="628" spans="3:4" ht="12.3">
      <c r="C628" s="4"/>
      <c r="D628" s="5"/>
    </row>
    <row r="629" spans="3:4" ht="12.3">
      <c r="C629" s="4"/>
      <c r="D629" s="5"/>
    </row>
    <row r="630" spans="3:4" ht="12.3">
      <c r="C630" s="4"/>
      <c r="D630" s="5"/>
    </row>
    <row r="631" spans="3:4" ht="12.3">
      <c r="C631" s="4"/>
      <c r="D631" s="5"/>
    </row>
    <row r="632" spans="3:4" ht="12.3">
      <c r="C632" s="4"/>
      <c r="D632" s="5"/>
    </row>
    <row r="633" spans="3:4" ht="12.3">
      <c r="C633" s="6"/>
      <c r="D633" s="5"/>
    </row>
    <row r="634" spans="3:4" ht="12.3">
      <c r="C634" s="6"/>
      <c r="D634" s="5"/>
    </row>
    <row r="635" spans="3:4" ht="12.3">
      <c r="C635" s="6"/>
      <c r="D635" s="5"/>
    </row>
    <row r="636" spans="3:4" ht="12.3">
      <c r="C636" s="7"/>
      <c r="D636" s="5"/>
    </row>
    <row r="637" spans="3:4" ht="12.3">
      <c r="C637" s="7"/>
      <c r="D637" s="5"/>
    </row>
    <row r="638" spans="3:4" ht="12.3">
      <c r="C638" s="7"/>
      <c r="D638" s="5"/>
    </row>
    <row r="639" spans="3:4" ht="12.3">
      <c r="C639" s="6"/>
      <c r="D639" s="5"/>
    </row>
    <row r="640" spans="3:4" ht="12.3">
      <c r="C640" s="6"/>
      <c r="D640" s="5"/>
    </row>
    <row r="641" spans="3:4" ht="12.3">
      <c r="C641" s="6"/>
      <c r="D641" s="5"/>
    </row>
    <row r="642" spans="3:4" ht="12.3">
      <c r="C642" s="6"/>
      <c r="D642" s="5"/>
    </row>
    <row r="643" spans="3:4" ht="12.3">
      <c r="C643" s="6"/>
      <c r="D643" s="5"/>
    </row>
    <row r="644" spans="3:4" ht="12.3">
      <c r="C644" s="6"/>
      <c r="D644" s="5"/>
    </row>
    <row r="645" spans="3:4" ht="12.3">
      <c r="C645" s="6"/>
      <c r="D645" s="5"/>
    </row>
    <row r="646" spans="3:4" ht="12.3">
      <c r="C646" s="7"/>
      <c r="D646" s="5"/>
    </row>
    <row r="647" spans="3:4" ht="12.3">
      <c r="C647" s="7"/>
      <c r="D647" s="5"/>
    </row>
    <row r="648" spans="3:4" ht="12.3">
      <c r="C648" s="7"/>
      <c r="D648" s="5"/>
    </row>
    <row r="649" spans="3:4" ht="12.3">
      <c r="C649" s="6"/>
      <c r="D649" s="5"/>
    </row>
    <row r="650" spans="3:4" ht="12.3">
      <c r="C650" s="6"/>
      <c r="D650" s="5"/>
    </row>
    <row r="651" spans="3:4" ht="12.3">
      <c r="C651" s="6"/>
      <c r="D651" s="5"/>
    </row>
    <row r="652" spans="3:4" ht="12.3">
      <c r="C652" s="6"/>
      <c r="D652" s="5"/>
    </row>
    <row r="653" spans="3:4" ht="12.3">
      <c r="C653" s="6"/>
      <c r="D653" s="5"/>
    </row>
    <row r="654" spans="3:4" ht="12.3">
      <c r="C654" s="6"/>
      <c r="D654" s="5"/>
    </row>
    <row r="655" spans="3:4" ht="12.3">
      <c r="C655" s="6"/>
      <c r="D655" s="5"/>
    </row>
    <row r="656" spans="3:4" ht="12.3">
      <c r="C656" s="6"/>
      <c r="D656" s="5"/>
    </row>
    <row r="657" spans="3:4" ht="12.3">
      <c r="C657" s="6"/>
      <c r="D657" s="5"/>
    </row>
    <row r="658" spans="3:4" ht="12.3">
      <c r="C658" s="7"/>
      <c r="D658" s="8"/>
    </row>
    <row r="659" spans="3:4" ht="12.3">
      <c r="C659" s="7"/>
      <c r="D659" s="8"/>
    </row>
    <row r="660" spans="3:4" ht="12.3">
      <c r="C660" s="6"/>
      <c r="D660" s="5"/>
    </row>
    <row r="661" spans="3:4" ht="12.3">
      <c r="C661" s="6"/>
      <c r="D661" s="5"/>
    </row>
    <row r="662" spans="3:4" ht="12.3">
      <c r="C662" s="6"/>
      <c r="D662" s="5"/>
    </row>
    <row r="663" spans="3:4" ht="12.3">
      <c r="C663" s="6"/>
      <c r="D663" s="5"/>
    </row>
    <row r="664" spans="3:4" ht="12.3">
      <c r="C664" s="6"/>
      <c r="D664" s="5"/>
    </row>
    <row r="665" spans="3:4" ht="12.3">
      <c r="C665" s="6"/>
      <c r="D665" s="5"/>
    </row>
    <row r="666" spans="3:4" ht="12.3">
      <c r="C666" s="7"/>
      <c r="D666" s="5"/>
    </row>
    <row r="667" spans="3:4" ht="12.3">
      <c r="C667" s="7"/>
      <c r="D667" s="5"/>
    </row>
    <row r="668" spans="3:4" ht="12.3">
      <c r="C668" s="6"/>
      <c r="D668" s="8"/>
    </row>
    <row r="669" spans="3:4" ht="12.3">
      <c r="C669" s="6"/>
      <c r="D669" s="8"/>
    </row>
    <row r="670" spans="3:4" ht="12.3">
      <c r="C670" s="7"/>
      <c r="D670" s="8"/>
    </row>
    <row r="671" spans="3:4" ht="12.3">
      <c r="C671" s="7"/>
      <c r="D671" s="8"/>
    </row>
    <row r="672" spans="3:4" ht="12.3">
      <c r="C672" s="7"/>
      <c r="D672" s="8"/>
    </row>
    <row r="673" spans="3:4" ht="12.3">
      <c r="C673" s="6"/>
      <c r="D673" s="5"/>
    </row>
    <row r="674" spans="3:4" ht="12.3">
      <c r="C674" s="6"/>
      <c r="D674" s="5"/>
    </row>
    <row r="675" spans="3:4" ht="12.3">
      <c r="C675" s="6"/>
      <c r="D675" s="5"/>
    </row>
    <row r="676" spans="3:4" ht="12.3">
      <c r="C676" s="6"/>
      <c r="D676" s="5"/>
    </row>
    <row r="677" spans="3:4" ht="12.3">
      <c r="C677" s="6"/>
      <c r="D677" s="5"/>
    </row>
    <row r="678" spans="3:4" ht="12.3">
      <c r="C678" s="7"/>
      <c r="D678" s="8"/>
    </row>
    <row r="679" spans="3:4" ht="12.3">
      <c r="C679" s="6"/>
      <c r="D679" s="5"/>
    </row>
    <row r="680" spans="3:4" ht="12.3">
      <c r="C680" s="6"/>
      <c r="D680" s="5"/>
    </row>
    <row r="681" spans="3:4" ht="12.3">
      <c r="C681" s="6"/>
      <c r="D681" s="5"/>
    </row>
    <row r="682" spans="3:4" ht="12.3">
      <c r="C682" s="6"/>
      <c r="D682" s="5"/>
    </row>
    <row r="683" spans="3:4" ht="12.3">
      <c r="C683" s="6"/>
      <c r="D683" s="5"/>
    </row>
    <row r="684" spans="3:4" ht="12.3">
      <c r="C684" s="4"/>
      <c r="D684" s="5"/>
    </row>
    <row r="685" spans="3:4" ht="12.3">
      <c r="C685" s="4"/>
      <c r="D685" s="5"/>
    </row>
    <row r="686" spans="3:4" ht="12.3">
      <c r="C686" s="4"/>
      <c r="D686" s="5"/>
    </row>
    <row r="687" spans="3:4" ht="12.3">
      <c r="C687" s="4"/>
      <c r="D687" s="5"/>
    </row>
    <row r="688" spans="3:4" ht="12.3">
      <c r="C688" s="4"/>
      <c r="D688" s="5"/>
    </row>
    <row r="689" spans="3:4" ht="12.3">
      <c r="C689" s="4"/>
      <c r="D689" s="5"/>
    </row>
    <row r="690" spans="3:4" ht="12.3">
      <c r="C690" s="4"/>
      <c r="D690" s="5"/>
    </row>
    <row r="691" spans="3:4" ht="12.3">
      <c r="C691" s="4"/>
      <c r="D691" s="5"/>
    </row>
    <row r="692" spans="3:4" ht="12.3">
      <c r="C692" s="4"/>
      <c r="D692" s="5"/>
    </row>
    <row r="693" spans="3:4" ht="12.3">
      <c r="C693" s="4"/>
      <c r="D693" s="5"/>
    </row>
    <row r="694" spans="3:4" ht="12.3">
      <c r="C694" s="4"/>
      <c r="D694" s="5"/>
    </row>
    <row r="695" spans="3:4" ht="12.3">
      <c r="C695" s="4"/>
      <c r="D695" s="5"/>
    </row>
    <row r="696" spans="3:4" ht="12.3">
      <c r="C696" s="4"/>
      <c r="D696" s="5"/>
    </row>
    <row r="697" spans="3:4" ht="12.3">
      <c r="C697" s="4"/>
      <c r="D697" s="5"/>
    </row>
    <row r="698" spans="3:4" ht="12.3">
      <c r="C698" s="4"/>
      <c r="D698" s="5"/>
    </row>
    <row r="699" spans="3:4" ht="12.3">
      <c r="C699" s="4"/>
      <c r="D699" s="5"/>
    </row>
    <row r="700" spans="3:4" ht="12.3">
      <c r="C700" s="4"/>
      <c r="D700" s="5"/>
    </row>
    <row r="701" spans="3:4" ht="12.3">
      <c r="C701" s="4"/>
      <c r="D701" s="5"/>
    </row>
    <row r="702" spans="3:4" ht="12.3">
      <c r="C702" s="4"/>
      <c r="D702" s="5"/>
    </row>
    <row r="703" spans="3:4" ht="12.3">
      <c r="C703" s="4"/>
      <c r="D703" s="5"/>
    </row>
    <row r="704" spans="3:4" ht="12.3">
      <c r="C704" s="4"/>
      <c r="D704" s="5"/>
    </row>
    <row r="705" spans="3:4" ht="12.3">
      <c r="C705" s="4"/>
      <c r="D705" s="5"/>
    </row>
    <row r="706" spans="3:4" ht="12.3">
      <c r="C706" s="4"/>
      <c r="D706" s="5"/>
    </row>
    <row r="707" spans="3:4" ht="12.3">
      <c r="C707" s="4"/>
      <c r="D707" s="5"/>
    </row>
    <row r="708" spans="3:4" ht="12.3">
      <c r="C708" s="4"/>
      <c r="D708" s="5"/>
    </row>
    <row r="709" spans="3:4" ht="12.3">
      <c r="C709" s="4"/>
      <c r="D709" s="5"/>
    </row>
    <row r="710" spans="3:4" ht="12.3">
      <c r="C710" s="4"/>
      <c r="D710" s="5"/>
    </row>
    <row r="711" spans="3:4" ht="12.3">
      <c r="C711" s="4"/>
      <c r="D711" s="5"/>
    </row>
    <row r="712" spans="3:4" ht="12.3">
      <c r="C712" s="4"/>
      <c r="D712" s="5"/>
    </row>
    <row r="713" spans="3:4" ht="12.3">
      <c r="C713" s="4"/>
      <c r="D713" s="5"/>
    </row>
    <row r="714" spans="3:4" ht="12.3">
      <c r="C714" s="4"/>
      <c r="D714" s="5"/>
    </row>
    <row r="715" spans="3:4" ht="12.3">
      <c r="C715" s="4"/>
      <c r="D715" s="5"/>
    </row>
    <row r="716" spans="3:4" ht="12.3">
      <c r="C716" s="4"/>
      <c r="D716" s="5"/>
    </row>
    <row r="717" spans="3:4" ht="12.3">
      <c r="C717" s="4"/>
      <c r="D717" s="5"/>
    </row>
    <row r="718" spans="3:4" ht="12.3">
      <c r="C718" s="7"/>
      <c r="D718" s="8"/>
    </row>
    <row r="719" spans="3:4" ht="12.3">
      <c r="C719" s="7"/>
      <c r="D719" s="8"/>
    </row>
    <row r="720" spans="3:4" ht="12.3">
      <c r="C720" s="6"/>
      <c r="D720" s="9"/>
    </row>
    <row r="721" spans="3:4" ht="12.3">
      <c r="C721" s="6"/>
      <c r="D721" s="9"/>
    </row>
    <row r="722" spans="3:4" ht="12.3">
      <c r="C722" s="6"/>
      <c r="D722" s="9"/>
    </row>
    <row r="723" spans="3:4" ht="12.3">
      <c r="C723" s="6"/>
      <c r="D723" s="9"/>
    </row>
    <row r="724" spans="3:4" ht="12.3">
      <c r="C724" s="6"/>
      <c r="D724" s="9"/>
    </row>
    <row r="725" spans="3:4" ht="12.3">
      <c r="C725" s="6"/>
      <c r="D725" s="5"/>
    </row>
    <row r="726" spans="3:4" ht="12.3">
      <c r="C726" s="6"/>
      <c r="D726" s="5"/>
    </row>
    <row r="727" spans="3:4" ht="12.3">
      <c r="C727" s="6"/>
      <c r="D727" s="5"/>
    </row>
    <row r="728" spans="3:4" ht="12.3">
      <c r="C728" s="6"/>
      <c r="D728" s="5"/>
    </row>
    <row r="729" spans="3:4" ht="12.3">
      <c r="C729" s="6"/>
      <c r="D729" s="9"/>
    </row>
    <row r="730" spans="3:4" ht="12.3">
      <c r="C730" s="6"/>
      <c r="D730" s="9"/>
    </row>
    <row r="731" spans="3:4" ht="12.3">
      <c r="C731" s="6"/>
      <c r="D731" s="9"/>
    </row>
    <row r="732" spans="3:4" ht="12.3">
      <c r="C732" s="6"/>
      <c r="D732" s="10"/>
    </row>
    <row r="733" spans="3:4" ht="12.3">
      <c r="C733" s="6"/>
      <c r="D733" s="5"/>
    </row>
    <row r="734" spans="3:4" ht="12.3">
      <c r="C734" s="6"/>
      <c r="D734" s="5"/>
    </row>
    <row r="735" spans="3:4" ht="12.3">
      <c r="C735" s="6"/>
      <c r="D735" s="5"/>
    </row>
    <row r="736" spans="3:4" ht="12.3">
      <c r="C736" s="6"/>
      <c r="D736" s="5"/>
    </row>
    <row r="737" spans="3:4" ht="12.3">
      <c r="C737" s="6"/>
      <c r="D737" s="5"/>
    </row>
    <row r="738" spans="3:4" ht="12.3">
      <c r="C738" s="6"/>
      <c r="D738" s="11"/>
    </row>
    <row r="739" spans="3:4" ht="12.3">
      <c r="C739" s="12"/>
      <c r="D739" s="13"/>
    </row>
    <row r="740" spans="3:4" ht="12.3">
      <c r="C740" s="12"/>
      <c r="D740" s="13"/>
    </row>
    <row r="741" spans="3:4" ht="12.3">
      <c r="C741" s="12"/>
      <c r="D741" s="13"/>
    </row>
    <row r="742" spans="3:4" ht="12.3">
      <c r="C742" s="12"/>
      <c r="D742" s="13"/>
    </row>
    <row r="743" spans="3:4" ht="12.3">
      <c r="C743" s="12"/>
      <c r="D743" s="13"/>
    </row>
    <row r="744" spans="3:4" ht="12.3">
      <c r="C744" s="12"/>
      <c r="D744" s="13"/>
    </row>
    <row r="745" spans="3:4" ht="12.3">
      <c r="C745" s="12"/>
      <c r="D745" s="13"/>
    </row>
    <row r="746" spans="3:4" ht="12.3">
      <c r="C746" s="12"/>
      <c r="D746" s="13"/>
    </row>
    <row r="747" spans="3:4" ht="12.3">
      <c r="C747" s="12"/>
      <c r="D747" s="13"/>
    </row>
    <row r="748" spans="3:4" ht="12.3">
      <c r="C748" s="12"/>
      <c r="D748" s="13"/>
    </row>
    <row r="749" spans="3:4" ht="12.3">
      <c r="C749" s="12"/>
      <c r="D749" s="13"/>
    </row>
    <row r="750" spans="3:4" ht="12.3">
      <c r="C750" s="12"/>
      <c r="D750" s="13"/>
    </row>
    <row r="751" spans="3:4" ht="12.3">
      <c r="C751" s="12"/>
      <c r="D751" s="13"/>
    </row>
    <row r="752" spans="3:4" ht="12.3">
      <c r="C752" s="12"/>
      <c r="D752" s="13"/>
    </row>
    <row r="753" spans="3:4" ht="12.3">
      <c r="C753" s="12"/>
      <c r="D753" s="13"/>
    </row>
    <row r="754" spans="3:4" ht="12.3">
      <c r="C754" s="12"/>
      <c r="D754" s="13"/>
    </row>
    <row r="755" spans="3:4" ht="12.3">
      <c r="C755" s="12"/>
      <c r="D755" s="13"/>
    </row>
    <row r="756" spans="3:4" ht="12.3">
      <c r="C756" s="12"/>
      <c r="D756" s="13"/>
    </row>
    <row r="757" spans="3:4" ht="12.3">
      <c r="C757" s="12"/>
      <c r="D757" s="13"/>
    </row>
    <row r="758" spans="3:4" ht="12.3">
      <c r="C758" s="12"/>
      <c r="D758" s="13"/>
    </row>
    <row r="759" spans="3:4" ht="12.3">
      <c r="C759" s="12"/>
      <c r="D759" s="13"/>
    </row>
    <row r="760" spans="3:4" ht="12.3">
      <c r="C760" s="12"/>
      <c r="D760" s="13"/>
    </row>
    <row r="761" spans="3:4" ht="12.3">
      <c r="C761" s="12"/>
      <c r="D761" s="13"/>
    </row>
    <row r="762" spans="3:4" ht="12.3">
      <c r="C762" s="12"/>
      <c r="D762" s="13"/>
    </row>
    <row r="763" spans="3:4" ht="12.3">
      <c r="C763" s="12"/>
      <c r="D763" s="13"/>
    </row>
    <row r="764" spans="3:4" ht="12.3">
      <c r="C764" s="12"/>
      <c r="D764" s="13"/>
    </row>
    <row r="765" spans="3:4" ht="12.3">
      <c r="C765" s="12"/>
      <c r="D765" s="13"/>
    </row>
    <row r="766" spans="3:4" ht="12.3">
      <c r="C766" s="12"/>
      <c r="D766" s="13"/>
    </row>
    <row r="767" spans="3:4" ht="12.3">
      <c r="C767" s="12"/>
      <c r="D767" s="13"/>
    </row>
    <row r="768" spans="3:4" ht="12.3">
      <c r="C768" s="12"/>
      <c r="D768" s="13"/>
    </row>
    <row r="769" spans="3:4" ht="12.3">
      <c r="C769" s="12"/>
      <c r="D769" s="13"/>
    </row>
    <row r="770" spans="3:4" ht="12.3">
      <c r="C770" s="12"/>
      <c r="D770" s="13"/>
    </row>
    <row r="771" spans="3:4" ht="12.3">
      <c r="C771" s="12"/>
      <c r="D771" s="13"/>
    </row>
    <row r="772" spans="3:4" ht="12.3">
      <c r="C772" s="12"/>
      <c r="D772" s="13"/>
    </row>
    <row r="773" spans="3:4" ht="12.3">
      <c r="C773" s="12"/>
      <c r="D773" s="13"/>
    </row>
    <row r="774" spans="3:4" ht="12.3">
      <c r="C774" s="12"/>
      <c r="D774" s="13"/>
    </row>
    <row r="775" spans="3:4" ht="12.3">
      <c r="C775" s="12"/>
      <c r="D775" s="13"/>
    </row>
    <row r="776" spans="3:4" ht="12.3">
      <c r="C776" s="12"/>
      <c r="D776" s="13"/>
    </row>
    <row r="777" spans="3:4" ht="12.3">
      <c r="C777" s="12"/>
      <c r="D777" s="13"/>
    </row>
    <row r="778" spans="3:4" ht="12.3">
      <c r="C778" s="12"/>
      <c r="D778" s="13"/>
    </row>
    <row r="779" spans="3:4" ht="12.3">
      <c r="C779" s="12"/>
      <c r="D779" s="13"/>
    </row>
    <row r="780" spans="3:4" ht="12.3">
      <c r="C780" s="12"/>
      <c r="D780" s="13"/>
    </row>
    <row r="781" spans="3:4" ht="12.3">
      <c r="C781" s="12"/>
      <c r="D781" s="13"/>
    </row>
    <row r="782" spans="3:4" ht="12.3">
      <c r="C782" s="12"/>
      <c r="D782" s="13"/>
    </row>
    <row r="783" spans="3:4" ht="12.3">
      <c r="C783" s="12"/>
      <c r="D783" s="13"/>
    </row>
    <row r="784" spans="3:4" ht="12.3">
      <c r="C784" s="12"/>
      <c r="D784" s="13"/>
    </row>
    <row r="785" spans="3:4" ht="12.3">
      <c r="C785" s="12"/>
      <c r="D785" s="13"/>
    </row>
    <row r="786" spans="3:4" ht="12.3">
      <c r="C786" s="12"/>
      <c r="D786" s="13"/>
    </row>
    <row r="787" spans="3:4" ht="12.3">
      <c r="C787" s="12"/>
      <c r="D787" s="13"/>
    </row>
    <row r="788" spans="3:4" ht="12.3">
      <c r="C788" s="12"/>
      <c r="D788" s="13"/>
    </row>
    <row r="789" spans="3:4" ht="12.3">
      <c r="C789" s="12"/>
      <c r="D789" s="13"/>
    </row>
    <row r="790" spans="3:4" ht="12.3">
      <c r="C790" s="12"/>
      <c r="D790" s="13"/>
    </row>
    <row r="791" spans="3:4" ht="12.3">
      <c r="C791" s="12"/>
      <c r="D791" s="13"/>
    </row>
    <row r="792" spans="3:4" ht="12.3">
      <c r="C792" s="12"/>
      <c r="D792" s="13"/>
    </row>
    <row r="793" spans="3:4" ht="12.3">
      <c r="C793" s="12"/>
      <c r="D793" s="13"/>
    </row>
    <row r="794" spans="3:4" ht="12.3">
      <c r="C794" s="12"/>
      <c r="D794" s="13"/>
    </row>
    <row r="795" spans="3:4" ht="12.3">
      <c r="C795" s="12"/>
      <c r="D795" s="13"/>
    </row>
    <row r="796" spans="3:4" ht="12.3">
      <c r="C796" s="12"/>
      <c r="D796" s="13"/>
    </row>
    <row r="797" spans="3:4" ht="12.3">
      <c r="C797" s="12"/>
      <c r="D797" s="13"/>
    </row>
    <row r="798" spans="3:4" ht="12.3">
      <c r="C798" s="12"/>
      <c r="D798" s="13"/>
    </row>
    <row r="799" spans="3:4" ht="12.3">
      <c r="C799" s="12"/>
      <c r="D799" s="13"/>
    </row>
    <row r="800" spans="3:4" ht="12.3">
      <c r="C800" s="12"/>
      <c r="D800" s="13"/>
    </row>
    <row r="801" spans="3:4" ht="12.3">
      <c r="C801" s="12"/>
      <c r="D801" s="13"/>
    </row>
    <row r="802" spans="3:4" ht="12.3">
      <c r="C802" s="12"/>
      <c r="D802" s="13"/>
    </row>
    <row r="803" spans="3:4" ht="12.3">
      <c r="C803" s="12"/>
      <c r="D803" s="13"/>
    </row>
    <row r="804" spans="3:4" ht="12.3">
      <c r="C804" s="12"/>
      <c r="D804" s="13"/>
    </row>
    <row r="805" spans="3:4" ht="12.3">
      <c r="C805" s="12"/>
      <c r="D805" s="13"/>
    </row>
    <row r="806" spans="3:4" ht="12.3">
      <c r="C806" s="12"/>
      <c r="D806" s="13"/>
    </row>
    <row r="807" spans="3:4" ht="12.3">
      <c r="C807" s="12"/>
      <c r="D807" s="13"/>
    </row>
    <row r="808" spans="3:4" ht="12.3">
      <c r="C808" s="12"/>
      <c r="D808" s="13"/>
    </row>
    <row r="809" spans="3:4" ht="12.3">
      <c r="C809" s="12"/>
      <c r="D809" s="13"/>
    </row>
    <row r="810" spans="3:4" ht="12.3">
      <c r="C810" s="12"/>
      <c r="D810" s="13"/>
    </row>
    <row r="811" spans="3:4" ht="12.3">
      <c r="C811" s="12"/>
      <c r="D811" s="13"/>
    </row>
    <row r="812" spans="3:4" ht="12.3">
      <c r="C812" s="12"/>
      <c r="D812" s="13"/>
    </row>
    <row r="813" spans="3:4" ht="12.3">
      <c r="C813" s="12"/>
      <c r="D813" s="13"/>
    </row>
    <row r="814" spans="3:4" ht="12.3">
      <c r="C814" s="12"/>
      <c r="D814" s="13"/>
    </row>
    <row r="815" spans="3:4" ht="12.3">
      <c r="C815" s="12"/>
      <c r="D815" s="13"/>
    </row>
    <row r="816" spans="3:4" ht="12.3">
      <c r="C816" s="12"/>
      <c r="D816" s="13"/>
    </row>
    <row r="817" spans="3:4" ht="12.3">
      <c r="C817" s="12"/>
      <c r="D817" s="13"/>
    </row>
    <row r="818" spans="3:4" ht="12.3">
      <c r="C818" s="12"/>
      <c r="D818" s="13"/>
    </row>
    <row r="819" spans="3:4" ht="12.3">
      <c r="C819" s="12"/>
      <c r="D819" s="13"/>
    </row>
    <row r="820" spans="3:4" ht="12.3">
      <c r="C820" s="12"/>
      <c r="D820" s="13"/>
    </row>
    <row r="821" spans="3:4" ht="12.3">
      <c r="C821" s="12"/>
      <c r="D821" s="13"/>
    </row>
    <row r="822" spans="3:4" ht="12.3">
      <c r="C822" s="12"/>
      <c r="D822" s="13"/>
    </row>
    <row r="823" spans="3:4" ht="12.3">
      <c r="C823" s="12"/>
      <c r="D823" s="13"/>
    </row>
    <row r="824" spans="3:4" ht="12.3">
      <c r="C824" s="12"/>
      <c r="D824" s="13"/>
    </row>
    <row r="825" spans="3:4" ht="12.3">
      <c r="C825" s="12"/>
      <c r="D825" s="13"/>
    </row>
    <row r="826" spans="3:4" ht="12.3">
      <c r="C826" s="12"/>
      <c r="D826" s="13"/>
    </row>
    <row r="827" spans="3:4" ht="12.3">
      <c r="C827" s="12"/>
      <c r="D827" s="13"/>
    </row>
    <row r="828" spans="3:4" ht="12.3">
      <c r="C828" s="12"/>
      <c r="D828" s="13"/>
    </row>
    <row r="829" spans="3:4" ht="12.3">
      <c r="C829" s="12"/>
      <c r="D829" s="13"/>
    </row>
    <row r="830" spans="3:4" ht="12.3">
      <c r="C830" s="12"/>
      <c r="D830" s="13"/>
    </row>
    <row r="831" spans="3:4" ht="12.3">
      <c r="C831" s="12"/>
      <c r="D831" s="13"/>
    </row>
    <row r="832" spans="3:4" ht="12.3">
      <c r="C832" s="12"/>
      <c r="D832" s="13"/>
    </row>
    <row r="833" spans="3:4" ht="12.3">
      <c r="C833" s="12"/>
      <c r="D833" s="13"/>
    </row>
    <row r="834" spans="3:4" ht="12.3">
      <c r="C834" s="12"/>
      <c r="D834" s="13"/>
    </row>
    <row r="835" spans="3:4" ht="12.3">
      <c r="C835" s="12"/>
      <c r="D835" s="13"/>
    </row>
    <row r="836" spans="3:4" ht="12.3">
      <c r="C836" s="12"/>
      <c r="D836" s="13"/>
    </row>
    <row r="837" spans="3:4" ht="12.3">
      <c r="C837" s="12"/>
      <c r="D837" s="13"/>
    </row>
    <row r="838" spans="3:4" ht="12.3">
      <c r="C838" s="12"/>
      <c r="D838" s="13"/>
    </row>
    <row r="839" spans="3:4" ht="12.3">
      <c r="C839" s="12"/>
      <c r="D839" s="13"/>
    </row>
    <row r="840" spans="3:4" ht="12.3">
      <c r="C840" s="12"/>
      <c r="D840" s="13"/>
    </row>
    <row r="841" spans="3:4" ht="12.3">
      <c r="C841" s="12"/>
      <c r="D841" s="13"/>
    </row>
    <row r="842" spans="3:4" ht="12.3">
      <c r="C842" s="12"/>
      <c r="D842" s="13"/>
    </row>
    <row r="843" spans="3:4" ht="12.3">
      <c r="C843" s="12"/>
      <c r="D843" s="13"/>
    </row>
    <row r="844" spans="3:4" ht="12.3">
      <c r="C844" s="12"/>
      <c r="D844" s="13"/>
    </row>
    <row r="845" spans="3:4" ht="12.3">
      <c r="C845" s="12"/>
      <c r="D845" s="13"/>
    </row>
    <row r="846" spans="3:4" ht="12.3">
      <c r="C846" s="12"/>
      <c r="D846" s="13"/>
    </row>
    <row r="847" spans="3:4" ht="12.3">
      <c r="C847" s="12"/>
      <c r="D847" s="13"/>
    </row>
    <row r="848" spans="3:4" ht="12.3">
      <c r="C848" s="12"/>
      <c r="D848" s="13"/>
    </row>
    <row r="849" spans="3:4" ht="12.3">
      <c r="C849" s="12"/>
      <c r="D849" s="13"/>
    </row>
    <row r="850" spans="3:4" ht="12.3">
      <c r="C850" s="12"/>
      <c r="D850" s="13"/>
    </row>
    <row r="851" spans="3:4" ht="12.3">
      <c r="C851" s="12"/>
      <c r="D851" s="13"/>
    </row>
    <row r="852" spans="3:4" ht="12.3">
      <c r="C852" s="12"/>
      <c r="D852" s="13"/>
    </row>
    <row r="853" spans="3:4" ht="12.3">
      <c r="C853" s="12"/>
      <c r="D853" s="13"/>
    </row>
    <row r="854" spans="3:4" ht="12.3">
      <c r="C854" s="12"/>
      <c r="D854" s="13"/>
    </row>
    <row r="855" spans="3:4" ht="12.3">
      <c r="C855" s="12"/>
      <c r="D855" s="13"/>
    </row>
    <row r="856" spans="3:4" ht="12.3">
      <c r="C856" s="12"/>
      <c r="D856" s="13"/>
    </row>
    <row r="857" spans="3:4" ht="12.3">
      <c r="C857" s="12"/>
      <c r="D857" s="13"/>
    </row>
    <row r="858" spans="3:4" ht="12.3">
      <c r="C858" s="12"/>
      <c r="D858" s="13"/>
    </row>
    <row r="859" spans="3:4" ht="12.3">
      <c r="C859" s="12"/>
      <c r="D859" s="13"/>
    </row>
    <row r="860" spans="3:4" ht="12.3">
      <c r="C860" s="12"/>
      <c r="D860" s="13"/>
    </row>
    <row r="861" spans="3:4" ht="12.3">
      <c r="C861" s="12"/>
      <c r="D861" s="13"/>
    </row>
    <row r="862" spans="3:4" ht="12.3">
      <c r="C862" s="12"/>
      <c r="D862" s="13"/>
    </row>
    <row r="863" spans="3:4" ht="12.3">
      <c r="C863" s="12"/>
      <c r="D863" s="13"/>
    </row>
    <row r="864" spans="3:4" ht="12.3">
      <c r="C864" s="12"/>
      <c r="D864" s="13"/>
    </row>
    <row r="865" spans="3:4" ht="12.3">
      <c r="C865" s="12"/>
      <c r="D865" s="13"/>
    </row>
    <row r="866" spans="3:4" ht="12.3">
      <c r="C866" s="12"/>
      <c r="D866" s="13"/>
    </row>
    <row r="867" spans="3:4" ht="12.3">
      <c r="C867" s="12"/>
      <c r="D867" s="13"/>
    </row>
    <row r="868" spans="3:4" ht="12.3">
      <c r="C868" s="12"/>
      <c r="D868" s="13"/>
    </row>
    <row r="869" spans="3:4" ht="12.3">
      <c r="C869" s="12"/>
      <c r="D869" s="13"/>
    </row>
    <row r="870" spans="3:4" ht="12.3">
      <c r="C870" s="12"/>
      <c r="D870" s="13"/>
    </row>
    <row r="871" spans="3:4" ht="12.3">
      <c r="C871" s="12"/>
      <c r="D871" s="13"/>
    </row>
    <row r="872" spans="3:4" ht="12.3">
      <c r="C872" s="12"/>
      <c r="D872" s="13"/>
    </row>
    <row r="873" spans="3:4" ht="12.3">
      <c r="C873" s="12"/>
      <c r="D873" s="13"/>
    </row>
    <row r="874" spans="3:4" ht="12.3">
      <c r="C874" s="12"/>
      <c r="D874" s="13"/>
    </row>
    <row r="875" spans="3:4" ht="12.3">
      <c r="C875" s="12"/>
      <c r="D875" s="13"/>
    </row>
    <row r="876" spans="3:4" ht="12.3">
      <c r="C876" s="12"/>
      <c r="D876" s="13"/>
    </row>
    <row r="877" spans="3:4" ht="12.3">
      <c r="C877" s="12"/>
      <c r="D877" s="13"/>
    </row>
    <row r="878" spans="3:4" ht="12.3">
      <c r="C878" s="12"/>
      <c r="D878" s="13"/>
    </row>
    <row r="879" spans="3:4" ht="12.3">
      <c r="C879" s="12"/>
      <c r="D879" s="13"/>
    </row>
    <row r="880" spans="3:4" ht="12.3">
      <c r="C880" s="12"/>
      <c r="D880" s="13"/>
    </row>
    <row r="881" spans="3:4" ht="12.3">
      <c r="C881" s="12"/>
      <c r="D881" s="13"/>
    </row>
    <row r="882" spans="3:4" ht="12.3">
      <c r="C882" s="12"/>
      <c r="D882" s="13"/>
    </row>
    <row r="883" spans="3:4" ht="12.3">
      <c r="C883" s="12"/>
      <c r="D883" s="13"/>
    </row>
    <row r="884" spans="3:4" ht="12.3">
      <c r="C884" s="12"/>
      <c r="D884" s="13"/>
    </row>
    <row r="885" spans="3:4" ht="12.3">
      <c r="C885" s="12"/>
      <c r="D885" s="13"/>
    </row>
    <row r="886" spans="3:4" ht="12.3">
      <c r="C886" s="12"/>
      <c r="D886" s="13"/>
    </row>
    <row r="887" spans="3:4" ht="12.3">
      <c r="C887" s="12"/>
      <c r="D887" s="13"/>
    </row>
    <row r="888" spans="3:4" ht="12.3">
      <c r="C888" s="12"/>
      <c r="D888" s="13"/>
    </row>
    <row r="889" spans="3:4" ht="12.3">
      <c r="C889" s="12"/>
      <c r="D889" s="13"/>
    </row>
    <row r="890" spans="3:4" ht="12.3">
      <c r="C890" s="12"/>
      <c r="D890" s="13"/>
    </row>
    <row r="891" spans="3:4" ht="12.3">
      <c r="C891" s="12"/>
      <c r="D891" s="13"/>
    </row>
    <row r="892" spans="3:4" ht="12.3">
      <c r="C892" s="12"/>
      <c r="D892" s="13"/>
    </row>
    <row r="893" spans="3:4" ht="12.3">
      <c r="C893" s="12"/>
      <c r="D893" s="13"/>
    </row>
    <row r="894" spans="3:4" ht="12.3">
      <c r="C894" s="12"/>
      <c r="D894" s="13"/>
    </row>
    <row r="895" spans="3:4" ht="12.3">
      <c r="C895" s="12"/>
      <c r="D895" s="13"/>
    </row>
    <row r="896" spans="3:4" ht="12.3">
      <c r="C896" s="12"/>
      <c r="D896" s="13"/>
    </row>
    <row r="897" spans="3:4" ht="12.3">
      <c r="C897" s="12"/>
      <c r="D897" s="13"/>
    </row>
    <row r="898" spans="3:4" ht="12.3">
      <c r="C898" s="12"/>
      <c r="D898" s="13"/>
    </row>
    <row r="899" spans="3:4" ht="12.3">
      <c r="C899" s="12"/>
      <c r="D899" s="13"/>
    </row>
    <row r="900" spans="3:4" ht="12.3">
      <c r="C900" s="12"/>
      <c r="D900" s="13"/>
    </row>
    <row r="901" spans="3:4" ht="12.3">
      <c r="C901" s="12"/>
      <c r="D901" s="13"/>
    </row>
    <row r="902" spans="3:4" ht="12.3">
      <c r="C902" s="12"/>
      <c r="D902" s="13"/>
    </row>
    <row r="903" spans="3:4" ht="12.3">
      <c r="C903" s="12"/>
      <c r="D903" s="13"/>
    </row>
    <row r="904" spans="3:4" ht="12.3">
      <c r="C904" s="12"/>
      <c r="D904" s="13"/>
    </row>
    <row r="905" spans="3:4" ht="12.3">
      <c r="C905" s="12"/>
      <c r="D905" s="13"/>
    </row>
    <row r="906" spans="3:4" ht="12.3">
      <c r="C906" s="12"/>
      <c r="D906" s="13"/>
    </row>
    <row r="907" spans="3:4" ht="12.3">
      <c r="C907" s="12"/>
      <c r="D907" s="13"/>
    </row>
    <row r="908" spans="3:4" ht="12.3">
      <c r="C908" s="12"/>
      <c r="D908" s="13"/>
    </row>
    <row r="909" spans="3:4" ht="12.3">
      <c r="C909" s="12"/>
      <c r="D909" s="13"/>
    </row>
    <row r="910" spans="3:4" ht="12.3">
      <c r="C910" s="12"/>
      <c r="D910" s="13"/>
    </row>
    <row r="911" spans="3:4" ht="12.3">
      <c r="C911" s="12"/>
      <c r="D911" s="13"/>
    </row>
    <row r="912" spans="3:4" ht="12.3">
      <c r="C912" s="12"/>
      <c r="D912" s="13"/>
    </row>
    <row r="913" spans="3:4" ht="12.3">
      <c r="C913" s="12"/>
      <c r="D913" s="13"/>
    </row>
    <row r="914" spans="3:4" ht="12.3">
      <c r="C914" s="12"/>
      <c r="D914" s="13"/>
    </row>
    <row r="915" spans="3:4" ht="12.3">
      <c r="C915" s="12"/>
      <c r="D915" s="13"/>
    </row>
    <row r="916" spans="3:4" ht="12.3">
      <c r="C916" s="12"/>
      <c r="D916" s="13"/>
    </row>
    <row r="917" spans="3:4" ht="12.3">
      <c r="C917" s="12"/>
      <c r="D917" s="13"/>
    </row>
    <row r="918" spans="3:4" ht="12.3">
      <c r="C918" s="12"/>
      <c r="D918" s="13"/>
    </row>
    <row r="919" spans="3:4" ht="12.3">
      <c r="C919" s="12"/>
      <c r="D919" s="13"/>
    </row>
    <row r="920" spans="3:4" ht="12.3">
      <c r="C920" s="12"/>
      <c r="D920" s="13"/>
    </row>
    <row r="921" spans="3:4" ht="12.3">
      <c r="C921" s="12"/>
      <c r="D921" s="13"/>
    </row>
    <row r="922" spans="3:4" ht="12.3">
      <c r="C922" s="12"/>
      <c r="D922" s="13"/>
    </row>
    <row r="923" spans="3:4" ht="12.3">
      <c r="C923" s="12"/>
      <c r="D923" s="13"/>
    </row>
    <row r="924" spans="3:4" ht="12.3">
      <c r="C924" s="12"/>
      <c r="D924" s="13"/>
    </row>
    <row r="925" spans="3:4" ht="12.3">
      <c r="C925" s="12"/>
      <c r="D925" s="13"/>
    </row>
    <row r="926" spans="3:4" ht="12.3">
      <c r="C926" s="12"/>
      <c r="D926" s="13"/>
    </row>
    <row r="927" spans="3:4" ht="12.3">
      <c r="C927" s="12"/>
      <c r="D927" s="13"/>
    </row>
    <row r="928" spans="3:4" ht="12.3">
      <c r="C928" s="12"/>
      <c r="D928" s="13"/>
    </row>
    <row r="929" spans="3:4" ht="12.3">
      <c r="C929" s="12"/>
      <c r="D929" s="13"/>
    </row>
    <row r="930" spans="3:4" ht="12.3">
      <c r="C930" s="12"/>
      <c r="D930" s="13"/>
    </row>
    <row r="931" spans="3:4" ht="12.3">
      <c r="C931" s="12"/>
      <c r="D931" s="13"/>
    </row>
    <row r="932" spans="3:4" ht="12.3">
      <c r="C932" s="12"/>
      <c r="D932" s="13"/>
    </row>
    <row r="933" spans="3:4" ht="12.3">
      <c r="C933" s="12"/>
      <c r="D933" s="13"/>
    </row>
    <row r="934" spans="3:4" ht="12.3">
      <c r="C934" s="12"/>
      <c r="D934" s="13"/>
    </row>
    <row r="935" spans="3:4" ht="12.3">
      <c r="C935" s="12"/>
      <c r="D935" s="13"/>
    </row>
    <row r="936" spans="3:4" ht="12.3">
      <c r="C936" s="12"/>
      <c r="D936" s="13"/>
    </row>
    <row r="937" spans="3:4" ht="12.3">
      <c r="C937" s="12"/>
      <c r="D937" s="13"/>
    </row>
    <row r="938" spans="3:4" ht="12.3">
      <c r="C938" s="12"/>
      <c r="D938" s="13"/>
    </row>
    <row r="939" spans="3:4" ht="12.3">
      <c r="C939" s="12"/>
      <c r="D939" s="13"/>
    </row>
    <row r="940" spans="3:4" ht="12.3">
      <c r="C940" s="12"/>
      <c r="D940" s="13"/>
    </row>
    <row r="941" spans="3:4" ht="12.3">
      <c r="C941" s="12"/>
      <c r="D941" s="13"/>
    </row>
    <row r="942" spans="3:4" ht="12.3">
      <c r="C942" s="12"/>
      <c r="D942" s="13"/>
    </row>
    <row r="943" spans="3:4" ht="12.3">
      <c r="C943" s="12"/>
      <c r="D943" s="13"/>
    </row>
    <row r="944" spans="3:4" ht="12.3">
      <c r="C944" s="12"/>
      <c r="D944" s="13"/>
    </row>
    <row r="945" spans="3:4" ht="12.3">
      <c r="C945" s="12"/>
      <c r="D945" s="13"/>
    </row>
    <row r="946" spans="3:4" ht="12.3">
      <c r="C946" s="12"/>
      <c r="D946" s="13"/>
    </row>
    <row r="947" spans="3:4" ht="12.3">
      <c r="C947" s="12"/>
      <c r="D947" s="13"/>
    </row>
    <row r="948" spans="3:4" ht="12.3">
      <c r="C948" s="12"/>
      <c r="D948" s="13"/>
    </row>
    <row r="949" spans="3:4" ht="12.3">
      <c r="C949" s="12"/>
      <c r="D949" s="13"/>
    </row>
    <row r="950" spans="3:4" ht="12.3">
      <c r="C950" s="12"/>
      <c r="D950" s="13"/>
    </row>
    <row r="951" spans="3:4" ht="12.3">
      <c r="C951" s="12"/>
      <c r="D951" s="13"/>
    </row>
    <row r="952" spans="3:4" ht="12.3">
      <c r="C952" s="12"/>
      <c r="D952" s="13"/>
    </row>
    <row r="953" spans="3:4" ht="12.3">
      <c r="C953" s="12"/>
      <c r="D953" s="13"/>
    </row>
    <row r="954" spans="3:4" ht="12.3">
      <c r="C954" s="12"/>
      <c r="D954" s="13"/>
    </row>
    <row r="955" spans="3:4" ht="12.3">
      <c r="C955" s="12"/>
      <c r="D955" s="13"/>
    </row>
    <row r="956" spans="3:4" ht="12.3">
      <c r="C956" s="12"/>
      <c r="D956" s="13"/>
    </row>
    <row r="957" spans="3:4" ht="12.3">
      <c r="C957" s="12"/>
      <c r="D957" s="13"/>
    </row>
    <row r="958" spans="3:4" ht="12.3">
      <c r="C958" s="12"/>
      <c r="D958" s="13"/>
    </row>
    <row r="959" spans="3:4" ht="12.3">
      <c r="C959" s="12"/>
      <c r="D959" s="13"/>
    </row>
    <row r="960" spans="3:4" ht="12.3">
      <c r="C960" s="12"/>
      <c r="D960" s="13"/>
    </row>
    <row r="961" spans="3:4" ht="12.3">
      <c r="C961" s="12"/>
      <c r="D961" s="13"/>
    </row>
    <row r="962" spans="3:4" ht="12.3">
      <c r="C962" s="12"/>
      <c r="D962" s="13"/>
    </row>
    <row r="963" spans="3:4" ht="12.3">
      <c r="C963" s="12"/>
      <c r="D963" s="13"/>
    </row>
    <row r="964" spans="3:4" ht="12.3">
      <c r="C964" s="12"/>
      <c r="D964" s="13"/>
    </row>
    <row r="965" spans="3:4" ht="12.3">
      <c r="C965" s="12"/>
      <c r="D965" s="13"/>
    </row>
    <row r="966" spans="3:4" ht="12.3">
      <c r="C966" s="12"/>
      <c r="D966" s="13"/>
    </row>
    <row r="967" spans="3:4" ht="12.3">
      <c r="C967" s="12"/>
      <c r="D967" s="13"/>
    </row>
    <row r="968" spans="3:4" ht="12.3">
      <c r="C968" s="12"/>
      <c r="D968" s="13"/>
    </row>
    <row r="969" spans="3:4" ht="12.3">
      <c r="C969" s="12"/>
      <c r="D969" s="13"/>
    </row>
    <row r="970" spans="3:4" ht="12.3">
      <c r="C970" s="12"/>
      <c r="D970" s="13"/>
    </row>
    <row r="971" spans="3:4" ht="12.3">
      <c r="C971" s="12"/>
      <c r="D971" s="13"/>
    </row>
    <row r="972" spans="3:4" ht="12.3">
      <c r="C972" s="12"/>
      <c r="D972" s="13"/>
    </row>
    <row r="973" spans="3:4" ht="12.3">
      <c r="C973" s="12"/>
      <c r="D973" s="13"/>
    </row>
    <row r="974" spans="3:4" ht="12.3">
      <c r="C974" s="12"/>
      <c r="D974" s="13"/>
    </row>
    <row r="975" spans="3:4" ht="12.3">
      <c r="C975" s="12"/>
      <c r="D975" s="13"/>
    </row>
    <row r="976" spans="3:4" ht="12.3">
      <c r="C976" s="12"/>
      <c r="D976" s="13"/>
    </row>
    <row r="977" spans="3:4" ht="12.3">
      <c r="C977" s="12"/>
      <c r="D977" s="13"/>
    </row>
    <row r="978" spans="3:4" ht="12.3">
      <c r="C978" s="12"/>
      <c r="D978" s="13"/>
    </row>
    <row r="979" spans="3:4" ht="12.3">
      <c r="C979" s="12"/>
      <c r="D979" s="13"/>
    </row>
    <row r="980" spans="3:4" ht="12.3">
      <c r="C980" s="12"/>
      <c r="D980" s="13"/>
    </row>
    <row r="981" spans="3:4" ht="12.3">
      <c r="C981" s="12"/>
      <c r="D981" s="13"/>
    </row>
    <row r="982" spans="3:4" ht="12.3">
      <c r="C982" s="12"/>
      <c r="D982" s="13"/>
    </row>
    <row r="983" spans="3:4" ht="12.3">
      <c r="C983" s="12"/>
      <c r="D983" s="13"/>
    </row>
    <row r="984" spans="3:4" ht="12.3">
      <c r="C984" s="12"/>
      <c r="D984" s="13"/>
    </row>
    <row r="985" spans="3:4" ht="12.3">
      <c r="C985" s="12"/>
      <c r="D985" s="13"/>
    </row>
    <row r="986" spans="3:4" ht="12.3">
      <c r="C986" s="12"/>
      <c r="D986" s="13"/>
    </row>
    <row r="987" spans="3:4" ht="12.3">
      <c r="C987" s="12"/>
      <c r="D987" s="13"/>
    </row>
    <row r="988" spans="3:4" ht="12.3">
      <c r="C988" s="12"/>
      <c r="D988" s="13"/>
    </row>
    <row r="989" spans="3:4" ht="12.3">
      <c r="C989" s="12"/>
      <c r="D989" s="13"/>
    </row>
    <row r="990" spans="3:4" ht="12.3">
      <c r="C990" s="12"/>
      <c r="D990" s="13"/>
    </row>
    <row r="991" spans="3:4" ht="12.3">
      <c r="C991" s="12"/>
      <c r="D991" s="13"/>
    </row>
    <row r="992" spans="3:4" ht="12.3">
      <c r="C992" s="12"/>
      <c r="D992" s="13"/>
    </row>
    <row r="993" spans="3:4" ht="12.3">
      <c r="C993" s="12"/>
      <c r="D993" s="13"/>
    </row>
    <row r="994" spans="3:4" ht="12.3">
      <c r="C994" s="12"/>
      <c r="D994" s="13"/>
    </row>
    <row r="995" spans="3:4" ht="12.3">
      <c r="C995" s="12"/>
      <c r="D995" s="13"/>
    </row>
    <row r="996" spans="3:4" ht="12.3">
      <c r="C996" s="12"/>
      <c r="D996" s="13"/>
    </row>
    <row r="997" spans="3:4" ht="12.3">
      <c r="C997" s="12"/>
      <c r="D997" s="13"/>
    </row>
    <row r="998" spans="3:4" ht="12.3">
      <c r="C998" s="12"/>
      <c r="D998" s="13"/>
    </row>
    <row r="999" spans="3:4" ht="12.3">
      <c r="C999" s="12"/>
      <c r="D999" s="13"/>
    </row>
    <row r="1000" spans="3:4" ht="12.3">
      <c r="C1000" s="12"/>
      <c r="D1000" s="13"/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D7401B-65FD-4CF9-9F1E-16404CCA6FE9}">
  <sheetPr codeName="Sheet4">
    <outlinePr summaryBelow="0" summaryRight="0"/>
  </sheetPr>
  <dimension ref="A1:XFD1000"/>
  <sheetViews>
    <sheetView workbookViewId="0">
      <selection activeCell="B6" sqref="B6"/>
    </sheetView>
  </sheetViews>
  <sheetFormatPr defaultColWidth="0" defaultRowHeight="15.75" customHeight="1"/>
  <cols>
    <col min="1" max="1" width="11.88671875" customWidth="1"/>
    <col min="2" max="2" width="12.609375" customWidth="1"/>
    <col min="3" max="3" width="1.44140625" style="27" customWidth="1"/>
    <col min="4" max="4" width="58" customWidth="1"/>
    <col min="5" max="5" width="1.38671875" style="27" customWidth="1"/>
    <col min="6" max="6" width="5.5" customWidth="1"/>
    <col min="7" max="7" width="3.94140625" style="54" customWidth="1"/>
    <col min="8" max="8" width="12.609375" style="54" customWidth="1"/>
    <col min="9" max="9" width="7.33203125" style="54" customWidth="1"/>
    <col min="10" max="16383" width="12.609375" hidden="1"/>
    <col min="16384" max="16384" width="8.38671875" hidden="1"/>
  </cols>
  <sheetData>
    <row r="1" spans="1:6" ht="27" customHeight="1">
      <c r="A1" s="48" t="s">
        <v>103</v>
      </c>
      <c r="B1" s="39" t="s">
        <v>104</v>
      </c>
      <c r="C1" s="28" t="s">
        <v>3</v>
      </c>
      <c r="D1" s="39" t="s">
        <v>4</v>
      </c>
      <c r="E1" s="28" t="s">
        <v>2</v>
      </c>
      <c r="F1" s="49" t="s">
        <v>105</v>
      </c>
    </row>
    <row r="2" spans="1:6" ht="15.75" customHeight="1">
      <c r="A2" s="29">
        <v>1</v>
      </c>
      <c r="B2" s="30">
        <v>9</v>
      </c>
      <c r="C2" s="31"/>
      <c r="D2" s="32" t="str">
        <f>IF(ISBLANK(A2)," ",VLOOKUP(A2,'Product Database'!A:B,2,FALSE))</f>
        <v>While</v>
      </c>
      <c r="E2" s="31"/>
      <c r="F2" s="33"/>
    </row>
    <row r="3" spans="1:6" ht="15.75" customHeight="1">
      <c r="A3" s="29">
        <v>2</v>
      </c>
      <c r="B3" s="30">
        <v>1</v>
      </c>
      <c r="C3" s="31"/>
      <c r="D3" s="32" t="str">
        <f>IF(ISBLANK(A3)," ",VLOOKUP(A3,'Product Database'!A:B,2,FALSE))</f>
        <v>Color</v>
      </c>
      <c r="E3" s="31"/>
      <c r="F3" s="33">
        <v>3</v>
      </c>
    </row>
    <row r="4" spans="1:6" ht="15.75" customHeight="1">
      <c r="A4" s="29">
        <v>3</v>
      </c>
      <c r="B4" s="30">
        <v>2</v>
      </c>
      <c r="C4" s="31"/>
      <c r="D4" s="32" t="str">
        <f>IF(ISBLANK(A4)," ",VLOOKUP(A4,'Product Database'!A:B,2,FALSE))</f>
        <v>Four</v>
      </c>
      <c r="E4" s="31"/>
      <c r="F4" s="33"/>
    </row>
    <row r="5" spans="1:6" ht="15.75" customHeight="1">
      <c r="A5" s="29">
        <v>1</v>
      </c>
      <c r="B5" s="30">
        <v>3</v>
      </c>
      <c r="C5" s="31"/>
      <c r="D5" s="32" t="str">
        <f>IF(ISBLANK(A5)," ",VLOOKUP(A5,'Product Database'!A:B,2,FALSE))</f>
        <v>While</v>
      </c>
      <c r="E5" s="31"/>
      <c r="F5" s="33"/>
    </row>
    <row r="6" spans="1:6" ht="15.75" customHeight="1">
      <c r="A6" s="29">
        <v>50</v>
      </c>
      <c r="B6" s="30">
        <v>4</v>
      </c>
      <c r="C6" s="31"/>
      <c r="D6" s="32" t="str">
        <f>IF(ISBLANK(A6)," ",VLOOKUP(A6,'Product Database'!A:B,2,FALSE))</f>
        <v>Recently</v>
      </c>
      <c r="E6" s="31"/>
      <c r="F6" s="33"/>
    </row>
    <row r="7" spans="1:6" ht="15.75" customHeight="1">
      <c r="A7" s="29"/>
      <c r="B7" s="30"/>
      <c r="C7" s="31"/>
      <c r="D7" s="32" t="str">
        <f>IF(ISBLANK(A7)," ",VLOOKUP(A7,'Product Database'!A:B,2,FALSE))</f>
        <v xml:space="preserve"> </v>
      </c>
      <c r="E7" s="31"/>
      <c r="F7" s="33"/>
    </row>
    <row r="8" spans="1:6" ht="15.75" customHeight="1">
      <c r="A8" s="29"/>
      <c r="B8" s="30"/>
      <c r="C8" s="31"/>
      <c r="D8" s="32" t="str">
        <f>IF(ISBLANK(A8)," ",VLOOKUP(A8,'Product Database'!A:B,2,FALSE))</f>
        <v xml:space="preserve"> </v>
      </c>
      <c r="E8" s="31"/>
      <c r="F8" s="33"/>
    </row>
    <row r="9" spans="1:6" ht="15.75" customHeight="1">
      <c r="A9" s="29"/>
      <c r="B9" s="30"/>
      <c r="C9" s="31"/>
      <c r="D9" s="32" t="str">
        <f>IF(ISBLANK(A9)," ",VLOOKUP(A9,'Product Database'!A:B,2,FALSE))</f>
        <v xml:space="preserve"> </v>
      </c>
      <c r="E9" s="31"/>
      <c r="F9" s="33"/>
    </row>
    <row r="10" spans="1:6" ht="15.75" customHeight="1">
      <c r="A10" s="29"/>
      <c r="B10" s="30"/>
      <c r="C10" s="31"/>
      <c r="D10" s="32" t="str">
        <f>IF(ISBLANK(A10)," ",VLOOKUP(A10,'Product Database'!A:B,2,FALSE))</f>
        <v xml:space="preserve"> </v>
      </c>
      <c r="E10" s="31"/>
      <c r="F10" s="33"/>
    </row>
    <row r="11" spans="1:6" ht="15.75" customHeight="1">
      <c r="A11" s="29"/>
      <c r="B11" s="30"/>
      <c r="C11" s="31"/>
      <c r="D11" s="32" t="str">
        <f>IF(ISBLANK(A11)," ",VLOOKUP(A11,'Product Database'!A:B,2,FALSE))</f>
        <v xml:space="preserve"> </v>
      </c>
      <c r="E11" s="31"/>
      <c r="F11" s="33"/>
    </row>
    <row r="12" spans="1:6" ht="15.75" customHeight="1">
      <c r="A12" s="29"/>
      <c r="B12" s="30"/>
      <c r="C12" s="31"/>
      <c r="D12" s="32" t="str">
        <f>IF(ISBLANK(A12)," ",VLOOKUP(A12,'Product Database'!A:B,2,FALSE))</f>
        <v xml:space="preserve"> </v>
      </c>
      <c r="E12" s="31"/>
      <c r="F12" s="33"/>
    </row>
    <row r="13" spans="1:6" ht="15.75" customHeight="1">
      <c r="A13" s="29"/>
      <c r="B13" s="30"/>
      <c r="C13" s="31"/>
      <c r="D13" s="32" t="str">
        <f>IF(ISBLANK(A13)," ",VLOOKUP(A13,'Product Database'!A:B,2,FALSE))</f>
        <v xml:space="preserve"> </v>
      </c>
      <c r="E13" s="31"/>
      <c r="F13" s="33"/>
    </row>
    <row r="14" spans="1:6" ht="15.75" customHeight="1">
      <c r="A14" s="29"/>
      <c r="B14" s="30"/>
      <c r="C14" s="31"/>
      <c r="D14" s="32" t="str">
        <f>IF(ISBLANK(A14)," ",VLOOKUP(A14,'Product Database'!A:B,2,FALSE))</f>
        <v xml:space="preserve"> </v>
      </c>
      <c r="E14" s="31"/>
      <c r="F14" s="33"/>
    </row>
    <row r="15" spans="1:6" ht="15.75" customHeight="1">
      <c r="A15" s="29"/>
      <c r="B15" s="30"/>
      <c r="C15" s="31"/>
      <c r="D15" s="32" t="str">
        <f>IF(ISBLANK(A15)," ",VLOOKUP(A15,'Product Database'!A:B,2,FALSE))</f>
        <v xml:space="preserve"> </v>
      </c>
      <c r="E15" s="31"/>
      <c r="F15" s="33"/>
    </row>
    <row r="16" spans="1:6" ht="15.75" customHeight="1">
      <c r="A16" s="29"/>
      <c r="B16" s="30"/>
      <c r="C16" s="31"/>
      <c r="D16" s="32" t="str">
        <f>IF(ISBLANK(A16)," ",VLOOKUP(A16,'Product Database'!A:B,2,FALSE))</f>
        <v xml:space="preserve"> </v>
      </c>
      <c r="E16" s="31"/>
      <c r="F16" s="33"/>
    </row>
    <row r="17" spans="1:6" ht="15.75" customHeight="1">
      <c r="A17" s="29"/>
      <c r="B17" s="30"/>
      <c r="C17" s="31"/>
      <c r="D17" s="32" t="str">
        <f>IF(ISBLANK(A17)," ",VLOOKUP(A17,'Product Database'!A:B,2,FALSE))</f>
        <v xml:space="preserve"> </v>
      </c>
      <c r="E17" s="31"/>
      <c r="F17" s="33"/>
    </row>
    <row r="18" spans="1:6" ht="15.75" customHeight="1">
      <c r="A18" s="29"/>
      <c r="B18" s="30"/>
      <c r="C18" s="31"/>
      <c r="D18" s="32" t="str">
        <f>IF(ISBLANK(A18)," ",VLOOKUP(A18,'Product Database'!A:B,2,FALSE))</f>
        <v xml:space="preserve"> </v>
      </c>
      <c r="E18" s="31"/>
      <c r="F18" s="33"/>
    </row>
    <row r="19" spans="1:6" ht="15.75" customHeight="1">
      <c r="A19" s="29"/>
      <c r="B19" s="30"/>
      <c r="C19" s="31"/>
      <c r="D19" s="32" t="str">
        <f>IF(ISBLANK(A19)," ",VLOOKUP(A19,'Product Database'!A:B,2,FALSE))</f>
        <v xml:space="preserve"> </v>
      </c>
      <c r="E19" s="31"/>
      <c r="F19" s="33"/>
    </row>
    <row r="20" spans="1:6" ht="15.75" customHeight="1">
      <c r="A20" s="29"/>
      <c r="B20" s="30"/>
      <c r="C20" s="31"/>
      <c r="D20" s="32" t="str">
        <f>IF(ISBLANK(A20)," ",VLOOKUP(A20,'Product Database'!A:B,2,FALSE))</f>
        <v xml:space="preserve"> </v>
      </c>
      <c r="E20" s="31"/>
      <c r="F20" s="33"/>
    </row>
    <row r="21" spans="1:6" ht="15.75" customHeight="1">
      <c r="A21" s="29"/>
      <c r="B21" s="30"/>
      <c r="C21" s="31"/>
      <c r="D21" s="32" t="str">
        <f>IF(ISBLANK(A21)," ",VLOOKUP(A21,'Product Database'!A:B,2,FALSE))</f>
        <v xml:space="preserve"> </v>
      </c>
      <c r="E21" s="31"/>
      <c r="F21" s="33"/>
    </row>
    <row r="22" spans="1:6" ht="15.75" customHeight="1">
      <c r="A22" s="29"/>
      <c r="B22" s="30"/>
      <c r="C22" s="31"/>
      <c r="D22" s="32" t="str">
        <f>IF(ISBLANK(A22)," ",VLOOKUP(A22,'Product Database'!A:B,2,FALSE))</f>
        <v xml:space="preserve"> </v>
      </c>
      <c r="E22" s="31"/>
      <c r="F22" s="33"/>
    </row>
    <row r="23" spans="1:6" ht="15.75" customHeight="1">
      <c r="A23" s="29"/>
      <c r="B23" s="30"/>
      <c r="C23" s="31"/>
      <c r="D23" s="32" t="str">
        <f>IF(ISBLANK(A23)," ",VLOOKUP(A23,'Product Database'!A:B,2,FALSE))</f>
        <v xml:space="preserve"> </v>
      </c>
      <c r="E23" s="31"/>
      <c r="F23" s="33"/>
    </row>
    <row r="24" spans="1:6" ht="15.75" customHeight="1">
      <c r="A24" s="29"/>
      <c r="B24" s="30"/>
      <c r="C24" s="31"/>
      <c r="D24" s="32" t="str">
        <f>IF(ISBLANK(A24)," ",VLOOKUP(A24,'Product Database'!A:B,2,FALSE))</f>
        <v xml:space="preserve"> </v>
      </c>
      <c r="E24" s="31"/>
      <c r="F24" s="33"/>
    </row>
    <row r="25" spans="1:6" ht="15.75" customHeight="1">
      <c r="A25" s="29"/>
      <c r="B25" s="30"/>
      <c r="C25" s="31"/>
      <c r="D25" s="32" t="str">
        <f>IF(ISBLANK(A25)," ",VLOOKUP(A25,'Product Database'!A:B,2,FALSE))</f>
        <v xml:space="preserve"> </v>
      </c>
      <c r="E25" s="31"/>
      <c r="F25" s="33"/>
    </row>
    <row r="26" spans="1:6" ht="15.75" customHeight="1">
      <c r="A26" s="29"/>
      <c r="B26" s="30"/>
      <c r="C26" s="31"/>
      <c r="D26" s="32" t="str">
        <f>IF(ISBLANK(A26)," ",VLOOKUP(A26,'Product Database'!A:B,2,FALSE))</f>
        <v xml:space="preserve"> </v>
      </c>
      <c r="E26" s="31"/>
      <c r="F26" s="33"/>
    </row>
    <row r="27" spans="1:6" ht="15.75" customHeight="1">
      <c r="A27" s="29"/>
      <c r="B27" s="30"/>
      <c r="C27" s="31"/>
      <c r="D27" s="32" t="str">
        <f>IF(ISBLANK(A27)," ",VLOOKUP(A27,'Product Database'!A:B,2,FALSE))</f>
        <v xml:space="preserve"> </v>
      </c>
      <c r="E27" s="31"/>
      <c r="F27" s="33"/>
    </row>
    <row r="28" spans="1:6" ht="15.75" customHeight="1">
      <c r="A28" s="29"/>
      <c r="B28" s="30"/>
      <c r="C28" s="31"/>
      <c r="D28" s="32" t="str">
        <f>IF(ISBLANK(A28)," ",VLOOKUP(A28,'Product Database'!A:B,2,FALSE))</f>
        <v xml:space="preserve"> </v>
      </c>
      <c r="E28" s="31"/>
      <c r="F28" s="33"/>
    </row>
    <row r="29" spans="1:6" ht="15.75" customHeight="1">
      <c r="A29" s="29"/>
      <c r="B29" s="30"/>
      <c r="C29" s="31"/>
      <c r="D29" s="32" t="str">
        <f>IF(ISBLANK(A29)," ",VLOOKUP(A29,'Product Database'!A:B,2,FALSE))</f>
        <v xml:space="preserve"> </v>
      </c>
      <c r="E29" s="31"/>
      <c r="F29" s="33"/>
    </row>
    <row r="30" spans="1:6" ht="12.3">
      <c r="A30" s="29"/>
      <c r="B30" s="30"/>
      <c r="C30" s="31"/>
      <c r="D30" s="32" t="str">
        <f>IF(ISBLANK(A30)," ",VLOOKUP(A30,'Product Database'!A:B,2,FALSE))</f>
        <v xml:space="preserve"> </v>
      </c>
      <c r="E30" s="31"/>
      <c r="F30" s="33"/>
    </row>
    <row r="31" spans="1:6" ht="12.3">
      <c r="A31" s="29"/>
      <c r="B31" s="30"/>
      <c r="C31" s="31"/>
      <c r="D31" s="32" t="str">
        <f>IF(ISBLANK(A31)," ",VLOOKUP(A31,'Product Database'!A:B,2,FALSE))</f>
        <v xml:space="preserve"> </v>
      </c>
      <c r="E31" s="31"/>
      <c r="F31" s="33"/>
    </row>
    <row r="32" spans="1:6" ht="12.3">
      <c r="A32" s="29"/>
      <c r="B32" s="30"/>
      <c r="C32" s="31"/>
      <c r="D32" s="32" t="str">
        <f>IF(ISBLANK(A32)," ",VLOOKUP(A32,'Product Database'!A:B,2,FALSE))</f>
        <v xml:space="preserve"> </v>
      </c>
      <c r="E32" s="31"/>
      <c r="F32" s="33"/>
    </row>
    <row r="33" spans="1:6" ht="12.3">
      <c r="A33" s="29"/>
      <c r="B33" s="30"/>
      <c r="C33" s="31"/>
      <c r="D33" s="32" t="str">
        <f>IF(ISBLANK(A33)," ",VLOOKUP(A33,'Product Database'!A:B,2,FALSE))</f>
        <v xml:space="preserve"> </v>
      </c>
      <c r="E33" s="31"/>
      <c r="F33" s="33"/>
    </row>
    <row r="34" spans="1:6" ht="12.3">
      <c r="A34" s="29"/>
      <c r="B34" s="30"/>
      <c r="C34" s="31"/>
      <c r="D34" s="32" t="str">
        <f>IF(ISBLANK(A34)," ",VLOOKUP(A34,'Product Database'!A:B,2,FALSE))</f>
        <v xml:space="preserve"> </v>
      </c>
      <c r="E34" s="31"/>
      <c r="F34" s="33"/>
    </row>
    <row r="35" spans="1:6" ht="12.3">
      <c r="A35" s="29"/>
      <c r="B35" s="30"/>
      <c r="C35" s="31"/>
      <c r="D35" s="32" t="str">
        <f>IF(ISBLANK(A35)," ",VLOOKUP(A35,'Product Database'!A:B,2,FALSE))</f>
        <v xml:space="preserve"> </v>
      </c>
      <c r="E35" s="31"/>
      <c r="F35" s="33"/>
    </row>
    <row r="36" spans="1:6" ht="12.3">
      <c r="A36" s="29"/>
      <c r="B36" s="30"/>
      <c r="C36" s="31"/>
      <c r="D36" s="32" t="str">
        <f>IF(ISBLANK(A36)," ",VLOOKUP(A36,'Product Database'!A:B,2,FALSE))</f>
        <v xml:space="preserve"> </v>
      </c>
      <c r="E36" s="31"/>
      <c r="F36" s="33"/>
    </row>
    <row r="37" spans="1:6" ht="12.3">
      <c r="A37" s="29"/>
      <c r="B37" s="30"/>
      <c r="C37" s="31"/>
      <c r="D37" s="32" t="str">
        <f>IF(ISBLANK(A37)," ",VLOOKUP(A37,'Product Database'!A:B,2,FALSE))</f>
        <v xml:space="preserve"> </v>
      </c>
      <c r="E37" s="31"/>
      <c r="F37" s="33"/>
    </row>
    <row r="38" spans="1:6" ht="12.3">
      <c r="A38" s="29"/>
      <c r="B38" s="30"/>
      <c r="C38" s="31"/>
      <c r="D38" s="32" t="str">
        <f>IF(ISBLANK(A38)," ",VLOOKUP(A38,'Product Database'!A:B,2,FALSE))</f>
        <v xml:space="preserve"> </v>
      </c>
      <c r="E38" s="31"/>
      <c r="F38" s="33"/>
    </row>
    <row r="39" spans="1:6" ht="12.3">
      <c r="A39" s="29"/>
      <c r="B39" s="30"/>
      <c r="C39" s="31"/>
      <c r="D39" s="32" t="str">
        <f>IF(ISBLANK(A39)," ",VLOOKUP(A39,'Product Database'!A:B,2,FALSE))</f>
        <v xml:space="preserve"> </v>
      </c>
      <c r="E39" s="31"/>
      <c r="F39" s="33"/>
    </row>
    <row r="40" spans="1:6" ht="12.3">
      <c r="A40" s="29"/>
      <c r="B40" s="30"/>
      <c r="C40" s="31"/>
      <c r="D40" s="32" t="str">
        <f>IF(ISBLANK(A40)," ",VLOOKUP(A40,'Product Database'!A:B,2,FALSE))</f>
        <v xml:space="preserve"> </v>
      </c>
      <c r="E40" s="31"/>
      <c r="F40" s="33"/>
    </row>
    <row r="41" spans="1:6" ht="12.3">
      <c r="A41" s="29"/>
      <c r="B41" s="30"/>
      <c r="C41" s="31"/>
      <c r="D41" s="32" t="str">
        <f>IF(ISBLANK(A41)," ",VLOOKUP(A41,'Product Database'!A:B,2,FALSE))</f>
        <v xml:space="preserve"> </v>
      </c>
      <c r="E41" s="31"/>
      <c r="F41" s="33"/>
    </row>
    <row r="42" spans="1:6" ht="12.3">
      <c r="A42" s="29"/>
      <c r="B42" s="30"/>
      <c r="C42" s="31"/>
      <c r="D42" s="32" t="str">
        <f>IF(ISBLANK(A42)," ",VLOOKUP(A42,'Product Database'!A:B,2,FALSE))</f>
        <v xml:space="preserve"> </v>
      </c>
      <c r="E42" s="31"/>
      <c r="F42" s="33"/>
    </row>
    <row r="43" spans="1:6" ht="12.3">
      <c r="A43" s="29"/>
      <c r="B43" s="30"/>
      <c r="C43" s="31"/>
      <c r="D43" s="32" t="str">
        <f>IF(ISBLANK(A43)," ",VLOOKUP(A43,'Product Database'!A:B,2,FALSE))</f>
        <v xml:space="preserve"> </v>
      </c>
      <c r="E43" s="31"/>
      <c r="F43" s="33"/>
    </row>
    <row r="44" spans="1:6" ht="12.3">
      <c r="A44" s="29"/>
      <c r="B44" s="30"/>
      <c r="C44" s="31"/>
      <c r="D44" s="32" t="str">
        <f>IF(ISBLANK(A44)," ",VLOOKUP(A44,'Product Database'!A:B,2,FALSE))</f>
        <v xml:space="preserve"> </v>
      </c>
      <c r="E44" s="31"/>
      <c r="F44" s="33"/>
    </row>
    <row r="45" spans="1:6" ht="12.3">
      <c r="A45" s="29"/>
      <c r="B45" s="30"/>
      <c r="C45" s="31"/>
      <c r="D45" s="32" t="str">
        <f>IF(ISBLANK(A45)," ",VLOOKUP(A45,'Product Database'!A:B,2,FALSE))</f>
        <v xml:space="preserve"> </v>
      </c>
      <c r="E45" s="31"/>
      <c r="F45" s="33"/>
    </row>
    <row r="46" spans="1:6" ht="12.3">
      <c r="A46" s="29"/>
      <c r="B46" s="30"/>
      <c r="C46" s="31"/>
      <c r="D46" s="32" t="str">
        <f>IF(ISBLANK(A46)," ",VLOOKUP(A46,'Product Database'!A:B,2,FALSE))</f>
        <v xml:space="preserve"> </v>
      </c>
      <c r="E46" s="31"/>
      <c r="F46" s="33"/>
    </row>
    <row r="47" spans="1:6" ht="12.3">
      <c r="A47" s="29"/>
      <c r="B47" s="30"/>
      <c r="C47" s="31"/>
      <c r="D47" s="32" t="str">
        <f>IF(ISBLANK(A47)," ",VLOOKUP(A47,'Product Database'!A:B,2,FALSE))</f>
        <v xml:space="preserve"> </v>
      </c>
      <c r="E47" s="31"/>
      <c r="F47" s="33"/>
    </row>
    <row r="48" spans="1:6" ht="12.3">
      <c r="A48" s="29"/>
      <c r="B48" s="30"/>
      <c r="C48" s="31"/>
      <c r="D48" s="32" t="str">
        <f>IF(ISBLANK(A48)," ",VLOOKUP(A48,'Product Database'!A:B,2,FALSE))</f>
        <v xml:space="preserve"> </v>
      </c>
      <c r="E48" s="31"/>
      <c r="F48" s="33"/>
    </row>
    <row r="49" spans="1:6" ht="12.3">
      <c r="A49" s="29"/>
      <c r="B49" s="30"/>
      <c r="C49" s="31"/>
      <c r="D49" s="32" t="str">
        <f>IF(ISBLANK(A49)," ",VLOOKUP(A49,'Product Database'!A:B,2,FALSE))</f>
        <v xml:space="preserve"> </v>
      </c>
      <c r="E49" s="31"/>
      <c r="F49" s="33"/>
    </row>
    <row r="50" spans="1:6" ht="12.3">
      <c r="A50" s="29"/>
      <c r="B50" s="30"/>
      <c r="C50" s="31"/>
      <c r="D50" s="32" t="str">
        <f>IF(ISBLANK(A50)," ",VLOOKUP(A50,'Product Database'!A:B,2,FALSE))</f>
        <v xml:space="preserve"> </v>
      </c>
      <c r="E50" s="31"/>
      <c r="F50" s="33"/>
    </row>
    <row r="51" spans="1:6" ht="12.3">
      <c r="A51" s="29"/>
      <c r="B51" s="30"/>
      <c r="C51" s="31"/>
      <c r="D51" s="32" t="str">
        <f>IF(ISBLANK(A51)," ",VLOOKUP(A51,'Product Database'!A:B,2,FALSE))</f>
        <v xml:space="preserve"> </v>
      </c>
      <c r="E51" s="31"/>
      <c r="F51" s="33"/>
    </row>
    <row r="52" spans="1:6" ht="12.3">
      <c r="A52" s="29"/>
      <c r="B52" s="30"/>
      <c r="C52" s="31"/>
      <c r="D52" s="32" t="str">
        <f>IF(ISBLANK(A52)," ",VLOOKUP(A52,'Product Database'!A:B,2,FALSE))</f>
        <v xml:space="preserve"> </v>
      </c>
      <c r="E52" s="31"/>
      <c r="F52" s="33"/>
    </row>
    <row r="53" spans="1:6" ht="12.3">
      <c r="A53" s="29"/>
      <c r="B53" s="30"/>
      <c r="C53" s="31"/>
      <c r="D53" s="32" t="str">
        <f>IF(ISBLANK(A53)," ",VLOOKUP(A53,'Product Database'!A:B,2,FALSE))</f>
        <v xml:space="preserve"> </v>
      </c>
      <c r="E53" s="31"/>
      <c r="F53" s="33"/>
    </row>
    <row r="54" spans="1:6" ht="12.3">
      <c r="A54" s="29"/>
      <c r="B54" s="30"/>
      <c r="C54" s="31"/>
      <c r="D54" s="32" t="str">
        <f>IF(ISBLANK(A54)," ",VLOOKUP(A54,'Product Database'!A:B,2,FALSE))</f>
        <v xml:space="preserve"> </v>
      </c>
      <c r="E54" s="31"/>
      <c r="F54" s="33"/>
    </row>
    <row r="55" spans="1:6" ht="12.3">
      <c r="A55" s="29"/>
      <c r="B55" s="30"/>
      <c r="C55" s="31"/>
      <c r="D55" s="32" t="str">
        <f>IF(ISBLANK(A55)," ",VLOOKUP(A55,'Product Database'!A:B,2,FALSE))</f>
        <v xml:space="preserve"> </v>
      </c>
      <c r="E55" s="31"/>
      <c r="F55" s="33"/>
    </row>
    <row r="56" spans="1:6" ht="12.3">
      <c r="A56" s="29"/>
      <c r="B56" s="30"/>
      <c r="C56" s="31"/>
      <c r="D56" s="32" t="str">
        <f>IF(ISBLANK(A56)," ",VLOOKUP(A56,'Product Database'!A:B,2,FALSE))</f>
        <v xml:space="preserve"> </v>
      </c>
      <c r="E56" s="31"/>
      <c r="F56" s="33"/>
    </row>
    <row r="57" spans="1:6" ht="12.3">
      <c r="A57" s="29"/>
      <c r="B57" s="30"/>
      <c r="C57" s="31"/>
      <c r="D57" s="32" t="str">
        <f>IF(ISBLANK(A57)," ",VLOOKUP(A57,'Product Database'!A:B,2,FALSE))</f>
        <v xml:space="preserve"> </v>
      </c>
      <c r="E57" s="31"/>
      <c r="F57" s="33"/>
    </row>
    <row r="58" spans="1:6" ht="12.3">
      <c r="A58" s="29"/>
      <c r="B58" s="30"/>
      <c r="C58" s="31"/>
      <c r="D58" s="32" t="str">
        <f>IF(ISBLANK(A58)," ",VLOOKUP(A58,'Product Database'!A:B,2,FALSE))</f>
        <v xml:space="preserve"> </v>
      </c>
      <c r="E58" s="31"/>
      <c r="F58" s="33"/>
    </row>
    <row r="59" spans="1:6" ht="12.3">
      <c r="A59" s="29"/>
      <c r="B59" s="30"/>
      <c r="C59" s="31"/>
      <c r="D59" s="32" t="str">
        <f>IF(ISBLANK(A59)," ",VLOOKUP(A59,'Product Database'!A:B,2,FALSE))</f>
        <v xml:space="preserve"> </v>
      </c>
      <c r="E59" s="31"/>
      <c r="F59" s="33"/>
    </row>
    <row r="60" spans="1:6" ht="12.3">
      <c r="A60" s="29"/>
      <c r="B60" s="30"/>
      <c r="C60" s="31"/>
      <c r="D60" s="32" t="str">
        <f>IF(ISBLANK(A60)," ",VLOOKUP(A60,'Product Database'!A:B,2,FALSE))</f>
        <v xml:space="preserve"> </v>
      </c>
      <c r="E60" s="31"/>
      <c r="F60" s="33"/>
    </row>
    <row r="61" spans="1:6" ht="12.3">
      <c r="A61" s="29"/>
      <c r="B61" s="30"/>
      <c r="C61" s="31"/>
      <c r="D61" s="32" t="str">
        <f>IF(ISBLANK(A61)," ",VLOOKUP(A61,'Product Database'!A:B,2,FALSE))</f>
        <v xml:space="preserve"> </v>
      </c>
      <c r="E61" s="31"/>
      <c r="F61" s="33"/>
    </row>
    <row r="62" spans="1:6" ht="12.3">
      <c r="A62" s="29"/>
      <c r="B62" s="30"/>
      <c r="C62" s="31"/>
      <c r="D62" s="32" t="str">
        <f>IF(ISBLANK(A62)," ",VLOOKUP(A62,'Product Database'!A:B,2,FALSE))</f>
        <v xml:space="preserve"> </v>
      </c>
      <c r="E62" s="31"/>
      <c r="F62" s="33"/>
    </row>
    <row r="63" spans="1:6" ht="12.3">
      <c r="A63" s="29"/>
      <c r="B63" s="30"/>
      <c r="C63" s="31"/>
      <c r="D63" s="32" t="str">
        <f>IF(ISBLANK(A63)," ",VLOOKUP(A63,'Product Database'!A:B,2,FALSE))</f>
        <v xml:space="preserve"> </v>
      </c>
      <c r="E63" s="31"/>
      <c r="F63" s="33"/>
    </row>
    <row r="64" spans="1:6" ht="12.3">
      <c r="A64" s="29"/>
      <c r="B64" s="30"/>
      <c r="C64" s="31"/>
      <c r="D64" s="32" t="str">
        <f>IF(ISBLANK(A64)," ",VLOOKUP(A64,'Product Database'!A:B,2,FALSE))</f>
        <v xml:space="preserve"> </v>
      </c>
      <c r="E64" s="31"/>
      <c r="F64" s="33"/>
    </row>
    <row r="65" spans="1:6" ht="12.3">
      <c r="A65" s="29"/>
      <c r="B65" s="30"/>
      <c r="C65" s="31"/>
      <c r="D65" s="32" t="str">
        <f>IF(ISBLANK(A65)," ",VLOOKUP(A65,'Product Database'!A:B,2,FALSE))</f>
        <v xml:space="preserve"> </v>
      </c>
      <c r="E65" s="31"/>
      <c r="F65" s="33"/>
    </row>
    <row r="66" spans="1:6" ht="12.3">
      <c r="A66" s="34"/>
      <c r="B66" s="30"/>
      <c r="C66" s="31"/>
      <c r="D66" s="32" t="str">
        <f>IF(ISBLANK(A66)," ",VLOOKUP(A66,'Product Database'!A:B,2,FALSE))</f>
        <v xml:space="preserve"> </v>
      </c>
      <c r="E66" s="31"/>
      <c r="F66" s="33"/>
    </row>
    <row r="67" spans="1:6" ht="12.3">
      <c r="A67" s="34"/>
      <c r="B67" s="30"/>
      <c r="C67" s="31"/>
      <c r="D67" s="32" t="str">
        <f>IF(ISBLANK(A67)," ",VLOOKUP(A67,'Product Database'!A:B,2,FALSE))</f>
        <v xml:space="preserve"> </v>
      </c>
      <c r="E67" s="31"/>
      <c r="F67" s="33"/>
    </row>
    <row r="68" spans="1:6" ht="12.3">
      <c r="A68" s="34"/>
      <c r="B68" s="30"/>
      <c r="C68" s="31"/>
      <c r="D68" s="32" t="str">
        <f>IF(ISBLANK(A68)," ",VLOOKUP(A68,'Product Database'!A:B,2,FALSE))</f>
        <v xml:space="preserve"> </v>
      </c>
      <c r="E68" s="31"/>
      <c r="F68" s="33"/>
    </row>
    <row r="69" spans="1:6" ht="12.3">
      <c r="A69" s="34"/>
      <c r="B69" s="30"/>
      <c r="C69" s="31"/>
      <c r="D69" s="32" t="str">
        <f>IF(ISBLANK(A69)," ",VLOOKUP(A69,'Product Database'!A:B,2,FALSE))</f>
        <v xml:space="preserve"> </v>
      </c>
      <c r="E69" s="31"/>
      <c r="F69" s="33"/>
    </row>
    <row r="70" spans="1:6" ht="12.3">
      <c r="A70" s="34"/>
      <c r="B70" s="30"/>
      <c r="C70" s="31"/>
      <c r="D70" s="32" t="str">
        <f>IF(ISBLANK(A70)," ",VLOOKUP(A70,'Product Database'!A:B,2,FALSE))</f>
        <v xml:space="preserve"> </v>
      </c>
      <c r="E70" s="31"/>
      <c r="F70" s="33"/>
    </row>
    <row r="71" spans="1:6" ht="12.3">
      <c r="A71" s="34"/>
      <c r="B71" s="30"/>
      <c r="C71" s="31"/>
      <c r="D71" s="32" t="str">
        <f>IF(ISBLANK(A71)," ",VLOOKUP(A71,'Product Database'!A:B,2,FALSE))</f>
        <v xml:space="preserve"> </v>
      </c>
      <c r="E71" s="31"/>
      <c r="F71" s="33"/>
    </row>
    <row r="72" spans="1:6" ht="12.3">
      <c r="A72" s="34"/>
      <c r="B72" s="30"/>
      <c r="C72" s="31"/>
      <c r="D72" s="32" t="str">
        <f>IF(ISBLANK(A72)," ",VLOOKUP(A72,'Product Database'!A:B,2,FALSE))</f>
        <v xml:space="preserve"> </v>
      </c>
      <c r="E72" s="31"/>
      <c r="F72" s="33"/>
    </row>
    <row r="73" spans="1:6" ht="12.3">
      <c r="A73" s="34"/>
      <c r="B73" s="30"/>
      <c r="C73" s="31"/>
      <c r="D73" s="32" t="str">
        <f>IF(ISBLANK(A73)," ",VLOOKUP(A73,'Product Database'!A:B,2,FALSE))</f>
        <v xml:space="preserve"> </v>
      </c>
      <c r="E73" s="31"/>
      <c r="F73" s="33"/>
    </row>
    <row r="74" spans="1:6" ht="12.3">
      <c r="A74" s="34"/>
      <c r="B74" s="30"/>
      <c r="C74" s="31"/>
      <c r="D74" s="32" t="str">
        <f>IF(ISBLANK(A74)," ",VLOOKUP(A74,'Product Database'!A:B,2,FALSE))</f>
        <v xml:space="preserve"> </v>
      </c>
      <c r="E74" s="31"/>
      <c r="F74" s="33"/>
    </row>
    <row r="75" spans="1:6" ht="12.3">
      <c r="A75" s="34"/>
      <c r="B75" s="30"/>
      <c r="C75" s="31"/>
      <c r="D75" s="32" t="str">
        <f>IF(ISBLANK(A75)," ",VLOOKUP(A75,'Product Database'!A:B,2,FALSE))</f>
        <v xml:space="preserve"> </v>
      </c>
      <c r="E75" s="31"/>
      <c r="F75" s="33"/>
    </row>
    <row r="76" spans="1:6" ht="12.3">
      <c r="A76" s="34"/>
      <c r="B76" s="30"/>
      <c r="C76" s="31"/>
      <c r="D76" s="32" t="str">
        <f>IF(ISBLANK(A76)," ",VLOOKUP(A76,'Product Database'!A:B,2,FALSE))</f>
        <v xml:space="preserve"> </v>
      </c>
      <c r="E76" s="31"/>
      <c r="F76" s="33"/>
    </row>
    <row r="77" spans="1:6" ht="12.3">
      <c r="A77" s="34"/>
      <c r="B77" s="30"/>
      <c r="C77" s="31"/>
      <c r="D77" s="32" t="str">
        <f>IF(ISBLANK(A77)," ",VLOOKUP(A77,'Product Database'!A:B,2,FALSE))</f>
        <v xml:space="preserve"> </v>
      </c>
      <c r="E77" s="31"/>
      <c r="F77" s="33"/>
    </row>
    <row r="78" spans="1:6" ht="12.3">
      <c r="A78" s="34"/>
      <c r="B78" s="30"/>
      <c r="C78" s="31"/>
      <c r="D78" s="32" t="str">
        <f>IF(ISBLANK(A78)," ",VLOOKUP(A78,'Product Database'!A:B,2,FALSE))</f>
        <v xml:space="preserve"> </v>
      </c>
      <c r="E78" s="31"/>
      <c r="F78" s="33"/>
    </row>
    <row r="79" spans="1:6" ht="12.3">
      <c r="A79" s="34"/>
      <c r="B79" s="30"/>
      <c r="C79" s="31"/>
      <c r="D79" s="32" t="str">
        <f>IF(ISBLANK(A79)," ",VLOOKUP(A79,'Product Database'!A:B,2,FALSE))</f>
        <v xml:space="preserve"> </v>
      </c>
      <c r="E79" s="31"/>
      <c r="F79" s="33"/>
    </row>
    <row r="80" spans="1:6" ht="12.3">
      <c r="A80" s="34"/>
      <c r="B80" s="30"/>
      <c r="C80" s="31"/>
      <c r="D80" s="32" t="str">
        <f>IF(ISBLANK(A80)," ",VLOOKUP(A80,'Product Database'!A:B,2,FALSE))</f>
        <v xml:space="preserve"> </v>
      </c>
      <c r="E80" s="31"/>
      <c r="F80" s="33"/>
    </row>
    <row r="81" spans="1:6" ht="12.3">
      <c r="A81" s="34"/>
      <c r="B81" s="30"/>
      <c r="C81" s="31"/>
      <c r="D81" s="32" t="str">
        <f>IF(ISBLANK(A81)," ",VLOOKUP(A81,'Product Database'!A:B,2,FALSE))</f>
        <v xml:space="preserve"> </v>
      </c>
      <c r="E81" s="31"/>
      <c r="F81" s="33"/>
    </row>
    <row r="82" spans="1:6" ht="12.3">
      <c r="A82" s="34"/>
      <c r="B82" s="30"/>
      <c r="C82" s="31"/>
      <c r="D82" s="32" t="str">
        <f>IF(ISBLANK(A82)," ",VLOOKUP(A82,'Product Database'!A:B,2,FALSE))</f>
        <v xml:space="preserve"> </v>
      </c>
      <c r="E82" s="31"/>
      <c r="F82" s="33"/>
    </row>
    <row r="83" spans="1:6" ht="12.3">
      <c r="A83" s="34"/>
      <c r="B83" s="30"/>
      <c r="C83" s="31"/>
      <c r="D83" s="32" t="str">
        <f>IF(ISBLANK(A83)," ",VLOOKUP(A83,'Product Database'!A:B,2,FALSE))</f>
        <v xml:space="preserve"> </v>
      </c>
      <c r="E83" s="31"/>
      <c r="F83" s="33"/>
    </row>
    <row r="84" spans="1:6" ht="12.3">
      <c r="A84" s="34"/>
      <c r="B84" s="30"/>
      <c r="C84" s="31"/>
      <c r="D84" s="32" t="str">
        <f>IF(ISBLANK(A84)," ",VLOOKUP(A84,'Product Database'!A:B,2,FALSE))</f>
        <v xml:space="preserve"> </v>
      </c>
      <c r="E84" s="31"/>
      <c r="F84" s="33"/>
    </row>
    <row r="85" spans="1:6" ht="12.3">
      <c r="A85" s="34"/>
      <c r="B85" s="30"/>
      <c r="C85" s="31"/>
      <c r="D85" s="32" t="str">
        <f>IF(ISBLANK(A85)," ",VLOOKUP(A85,'Product Database'!A:B,2,FALSE))</f>
        <v xml:space="preserve"> </v>
      </c>
      <c r="E85" s="31"/>
      <c r="F85" s="33"/>
    </row>
    <row r="86" spans="1:6" ht="12.3">
      <c r="A86" s="34"/>
      <c r="B86" s="30"/>
      <c r="C86" s="31"/>
      <c r="D86" s="32" t="str">
        <f>IF(ISBLANK(A86)," ",VLOOKUP(A86,'Product Database'!A:B,2,FALSE))</f>
        <v xml:space="preserve"> </v>
      </c>
      <c r="E86" s="31"/>
      <c r="F86" s="33"/>
    </row>
    <row r="87" spans="1:6" ht="12.3">
      <c r="A87" s="34"/>
      <c r="B87" s="30"/>
      <c r="C87" s="31"/>
      <c r="D87" s="32" t="str">
        <f>IF(ISBLANK(A87)," ",VLOOKUP(A87,'Product Database'!A:B,2,FALSE))</f>
        <v xml:space="preserve"> </v>
      </c>
      <c r="E87" s="31"/>
      <c r="F87" s="33"/>
    </row>
    <row r="88" spans="1:6" ht="12.3">
      <c r="A88" s="34"/>
      <c r="B88" s="30"/>
      <c r="C88" s="31"/>
      <c r="D88" s="32" t="str">
        <f>IF(ISBLANK(A88)," ",VLOOKUP(A88,'Product Database'!A:B,2,FALSE))</f>
        <v xml:space="preserve"> </v>
      </c>
      <c r="E88" s="31"/>
      <c r="F88" s="33"/>
    </row>
    <row r="89" spans="1:6" ht="12.3">
      <c r="A89" s="34"/>
      <c r="B89" s="30"/>
      <c r="C89" s="31"/>
      <c r="D89" s="32" t="str">
        <f>IF(ISBLANK(A89)," ",VLOOKUP(A89,'Product Database'!A:B,2,FALSE))</f>
        <v xml:space="preserve"> </v>
      </c>
      <c r="E89" s="31"/>
      <c r="F89" s="33"/>
    </row>
    <row r="90" spans="1:6" ht="12.3">
      <c r="A90" s="34"/>
      <c r="B90" s="30"/>
      <c r="C90" s="31"/>
      <c r="D90" s="32" t="str">
        <f>IF(ISBLANK(A90)," ",VLOOKUP(A90,'Product Database'!A:B,2,FALSE))</f>
        <v xml:space="preserve"> </v>
      </c>
      <c r="E90" s="31"/>
      <c r="F90" s="33"/>
    </row>
    <row r="91" spans="1:6" ht="12.3">
      <c r="A91" s="34"/>
      <c r="B91" s="30"/>
      <c r="C91" s="31"/>
      <c r="D91" s="32" t="str">
        <f>IF(ISBLANK(A91)," ",VLOOKUP(A91,'Product Database'!A:B,2,FALSE))</f>
        <v xml:space="preserve"> </v>
      </c>
      <c r="E91" s="31"/>
      <c r="F91" s="33"/>
    </row>
    <row r="92" spans="1:6" ht="12.3">
      <c r="A92" s="34"/>
      <c r="B92" s="30"/>
      <c r="C92" s="31"/>
      <c r="D92" s="32" t="str">
        <f>IF(ISBLANK(A92)," ",VLOOKUP(A92,'Product Database'!A:B,2,FALSE))</f>
        <v xml:space="preserve"> </v>
      </c>
      <c r="E92" s="31"/>
      <c r="F92" s="33"/>
    </row>
    <row r="93" spans="1:6" ht="12.3">
      <c r="A93" s="34"/>
      <c r="B93" s="30"/>
      <c r="C93" s="31"/>
      <c r="D93" s="32" t="str">
        <f>IF(ISBLANK(A93)," ",VLOOKUP(A93,'Product Database'!A:B,2,FALSE))</f>
        <v xml:space="preserve"> </v>
      </c>
      <c r="E93" s="31"/>
      <c r="F93" s="33"/>
    </row>
    <row r="94" spans="1:6" ht="12.3">
      <c r="A94" s="34"/>
      <c r="B94" s="30"/>
      <c r="C94" s="31"/>
      <c r="D94" s="32" t="str">
        <f>IF(ISBLANK(A94)," ",VLOOKUP(A94,'Product Database'!A:B,2,FALSE))</f>
        <v xml:space="preserve"> </v>
      </c>
      <c r="E94" s="31"/>
      <c r="F94" s="33"/>
    </row>
    <row r="95" spans="1:6" ht="12.3">
      <c r="A95" s="34"/>
      <c r="B95" s="30"/>
      <c r="C95" s="31"/>
      <c r="D95" s="32" t="str">
        <f>IF(ISBLANK(A95)," ",VLOOKUP(A95,'Product Database'!A:B,2,FALSE))</f>
        <v xml:space="preserve"> </v>
      </c>
      <c r="E95" s="31"/>
      <c r="F95" s="33"/>
    </row>
    <row r="96" spans="1:6" ht="12.3">
      <c r="A96" s="34"/>
      <c r="B96" s="30"/>
      <c r="C96" s="31"/>
      <c r="D96" s="32" t="str">
        <f>IF(ISBLANK(A96)," ",VLOOKUP(A96,'Product Database'!A:B,2,FALSE))</f>
        <v xml:space="preserve"> </v>
      </c>
      <c r="E96" s="31"/>
      <c r="F96" s="33"/>
    </row>
    <row r="97" spans="1:6" ht="12.3">
      <c r="A97" s="34"/>
      <c r="B97" s="30"/>
      <c r="C97" s="31"/>
      <c r="D97" s="32" t="str">
        <f>IF(ISBLANK(A97)," ",VLOOKUP(A97,'Product Database'!A:B,2,FALSE))</f>
        <v xml:space="preserve"> </v>
      </c>
      <c r="E97" s="31"/>
      <c r="F97" s="33"/>
    </row>
    <row r="98" spans="1:6" ht="12.3">
      <c r="A98" s="34"/>
      <c r="B98" s="30"/>
      <c r="C98" s="31"/>
      <c r="D98" s="32" t="str">
        <f>IF(ISBLANK(A98)," ",VLOOKUP(A98,'Product Database'!A:B,2,FALSE))</f>
        <v xml:space="preserve"> </v>
      </c>
      <c r="E98" s="31"/>
      <c r="F98" s="33"/>
    </row>
    <row r="99" spans="1:6" ht="12.3">
      <c r="A99" s="34"/>
      <c r="B99" s="30"/>
      <c r="C99" s="31"/>
      <c r="D99" s="32" t="str">
        <f>IF(ISBLANK(A99)," ",VLOOKUP(A99,'Product Database'!A:B,2,FALSE))</f>
        <v xml:space="preserve"> </v>
      </c>
      <c r="E99" s="31"/>
      <c r="F99" s="33"/>
    </row>
    <row r="100" spans="1:6" ht="12.3">
      <c r="A100" s="34"/>
      <c r="B100" s="30"/>
      <c r="C100" s="31"/>
      <c r="D100" s="32" t="str">
        <f>IF(ISBLANK(A100)," ",VLOOKUP(A100,'Product Database'!A:B,2,FALSE))</f>
        <v xml:space="preserve"> </v>
      </c>
      <c r="E100" s="31"/>
      <c r="F100" s="33"/>
    </row>
    <row r="101" spans="1:6" ht="12.3">
      <c r="A101" s="34"/>
      <c r="B101" s="30"/>
      <c r="C101" s="31"/>
      <c r="D101" s="32" t="str">
        <f>IF(ISBLANK(A101)," ",VLOOKUP(A101,'Product Database'!A:B,2,FALSE))</f>
        <v xml:space="preserve"> </v>
      </c>
      <c r="E101" s="31"/>
      <c r="F101" s="33"/>
    </row>
    <row r="102" spans="1:6" ht="12.3">
      <c r="A102" s="34"/>
      <c r="B102" s="30"/>
      <c r="C102" s="31"/>
      <c r="D102" s="32" t="str">
        <f>IF(ISBLANK(A102)," ",VLOOKUP(A102,'Product Database'!A:B,2,FALSE))</f>
        <v xml:space="preserve"> </v>
      </c>
      <c r="E102" s="31"/>
      <c r="F102" s="33"/>
    </row>
    <row r="103" spans="1:6" ht="12.3">
      <c r="A103" s="34"/>
      <c r="B103" s="30"/>
      <c r="C103" s="31"/>
      <c r="D103" s="32" t="str">
        <f>IF(ISBLANK(A103)," ",VLOOKUP(A103,'Product Database'!A:B,2,FALSE))</f>
        <v xml:space="preserve"> </v>
      </c>
      <c r="E103" s="31"/>
      <c r="F103" s="33"/>
    </row>
    <row r="104" spans="1:6" ht="12.3">
      <c r="A104" s="34"/>
      <c r="B104" s="30"/>
      <c r="C104" s="31"/>
      <c r="D104" s="32" t="str">
        <f>IF(ISBLANK(A104)," ",VLOOKUP(A104,'Product Database'!A:B,2,FALSE))</f>
        <v xml:space="preserve"> </v>
      </c>
      <c r="E104" s="31"/>
      <c r="F104" s="33"/>
    </row>
    <row r="105" spans="1:6" ht="12.3">
      <c r="A105" s="34"/>
      <c r="B105" s="30"/>
      <c r="C105" s="31"/>
      <c r="D105" s="32" t="str">
        <f>IF(ISBLANK(A105)," ",VLOOKUP(A105,'Product Database'!A:B,2,FALSE))</f>
        <v xml:space="preserve"> </v>
      </c>
      <c r="E105" s="31"/>
      <c r="F105" s="33"/>
    </row>
    <row r="106" spans="1:6" ht="12.3">
      <c r="A106" s="34"/>
      <c r="B106" s="30"/>
      <c r="C106" s="31"/>
      <c r="D106" s="32" t="str">
        <f>IF(ISBLANK(A106)," ",VLOOKUP(A106,'Product Database'!A:B,2,FALSE))</f>
        <v xml:space="preserve"> </v>
      </c>
      <c r="E106" s="31"/>
      <c r="F106" s="33"/>
    </row>
    <row r="107" spans="1:6" ht="12.3">
      <c r="A107" s="34"/>
      <c r="B107" s="30"/>
      <c r="C107" s="31"/>
      <c r="D107" s="32" t="str">
        <f>IF(ISBLANK(A107)," ",VLOOKUP(A107,'Product Database'!A:B,2,FALSE))</f>
        <v xml:space="preserve"> </v>
      </c>
      <c r="E107" s="31"/>
      <c r="F107" s="33"/>
    </row>
    <row r="108" spans="1:6" ht="12.3">
      <c r="A108" s="34"/>
      <c r="B108" s="30"/>
      <c r="C108" s="31"/>
      <c r="D108" s="32" t="str">
        <f>IF(ISBLANK(A108)," ",VLOOKUP(A108,'Product Database'!A:B,2,FALSE))</f>
        <v xml:space="preserve"> </v>
      </c>
      <c r="E108" s="31"/>
      <c r="F108" s="33"/>
    </row>
    <row r="109" spans="1:6" ht="12.3">
      <c r="A109" s="34"/>
      <c r="B109" s="30"/>
      <c r="C109" s="31"/>
      <c r="D109" s="32" t="str">
        <f>IF(ISBLANK(A109)," ",VLOOKUP(A109,'Product Database'!A:B,2,FALSE))</f>
        <v xml:space="preserve"> </v>
      </c>
      <c r="E109" s="31"/>
      <c r="F109" s="33"/>
    </row>
    <row r="110" spans="1:6" ht="12.3">
      <c r="A110" s="34"/>
      <c r="B110" s="30"/>
      <c r="C110" s="31"/>
      <c r="D110" s="32" t="str">
        <f>IF(ISBLANK(A110)," ",VLOOKUP(A110,'Product Database'!A:B,2,FALSE))</f>
        <v xml:space="preserve"> </v>
      </c>
      <c r="E110" s="31"/>
      <c r="F110" s="33"/>
    </row>
    <row r="111" spans="1:6" ht="12.3">
      <c r="A111" s="34"/>
      <c r="B111" s="30"/>
      <c r="C111" s="31"/>
      <c r="D111" s="32" t="str">
        <f>IF(ISBLANK(A111)," ",VLOOKUP(A111,'Product Database'!A:B,2,FALSE))</f>
        <v xml:space="preserve"> </v>
      </c>
      <c r="E111" s="31"/>
      <c r="F111" s="33"/>
    </row>
    <row r="112" spans="1:6" ht="12.3">
      <c r="A112" s="34"/>
      <c r="B112" s="30"/>
      <c r="C112" s="31"/>
      <c r="D112" s="32" t="str">
        <f>IF(ISBLANK(A112)," ",VLOOKUP(A112,'Product Database'!A:B,2,FALSE))</f>
        <v xml:space="preserve"> </v>
      </c>
      <c r="E112" s="31"/>
      <c r="F112" s="33"/>
    </row>
    <row r="113" spans="1:6" ht="12.3">
      <c r="A113" s="34"/>
      <c r="B113" s="30"/>
      <c r="C113" s="31"/>
      <c r="D113" s="32" t="str">
        <f>IF(ISBLANK(A113)," ",VLOOKUP(A113,'Product Database'!A:B,2,FALSE))</f>
        <v xml:space="preserve"> </v>
      </c>
      <c r="E113" s="31"/>
      <c r="F113" s="33"/>
    </row>
    <row r="114" spans="1:6" ht="12.3">
      <c r="A114" s="34"/>
      <c r="B114" s="30"/>
      <c r="C114" s="31"/>
      <c r="D114" s="32" t="str">
        <f>IF(ISBLANK(A114)," ",VLOOKUP(A114,'Product Database'!A:B,2,FALSE))</f>
        <v xml:space="preserve"> </v>
      </c>
      <c r="E114" s="31"/>
      <c r="F114" s="33"/>
    </row>
    <row r="115" spans="1:6" ht="12.3">
      <c r="A115" s="34"/>
      <c r="B115" s="30"/>
      <c r="C115" s="31"/>
      <c r="D115" s="32" t="str">
        <f>IF(ISBLANK(A115)," ",VLOOKUP(A115,'Product Database'!A:B,2,FALSE))</f>
        <v xml:space="preserve"> </v>
      </c>
      <c r="E115" s="31"/>
      <c r="F115" s="33"/>
    </row>
    <row r="116" spans="1:6" ht="12.3">
      <c r="A116" s="34"/>
      <c r="B116" s="30"/>
      <c r="C116" s="31"/>
      <c r="D116" s="32" t="str">
        <f>IF(ISBLANK(A116)," ",VLOOKUP(A116,'Product Database'!A:B,2,FALSE))</f>
        <v xml:space="preserve"> </v>
      </c>
      <c r="E116" s="31"/>
      <c r="F116" s="33"/>
    </row>
    <row r="117" spans="1:6" ht="12.3">
      <c r="A117" s="34"/>
      <c r="B117" s="30"/>
      <c r="C117" s="31"/>
      <c r="D117" s="32" t="str">
        <f>IF(ISBLANK(A117)," ",VLOOKUP(A117,'Product Database'!A:B,2,FALSE))</f>
        <v xml:space="preserve"> </v>
      </c>
      <c r="E117" s="31"/>
      <c r="F117" s="33"/>
    </row>
    <row r="118" spans="1:6" ht="12.3">
      <c r="A118" s="34"/>
      <c r="B118" s="30"/>
      <c r="C118" s="31"/>
      <c r="D118" s="32" t="str">
        <f>IF(ISBLANK(A118)," ",VLOOKUP(A118,'Product Database'!A:B,2,FALSE))</f>
        <v xml:space="preserve"> </v>
      </c>
      <c r="E118" s="31"/>
      <c r="F118" s="33"/>
    </row>
    <row r="119" spans="1:6" ht="12.3">
      <c r="A119" s="34"/>
      <c r="B119" s="30"/>
      <c r="C119" s="31"/>
      <c r="D119" s="32" t="str">
        <f>IF(ISBLANK(A119)," ",VLOOKUP(A119,'Product Database'!A:B,2,FALSE))</f>
        <v xml:space="preserve"> </v>
      </c>
      <c r="E119" s="31"/>
      <c r="F119" s="33"/>
    </row>
    <row r="120" spans="1:6" ht="12.3">
      <c r="A120" s="34"/>
      <c r="B120" s="30"/>
      <c r="C120" s="31"/>
      <c r="D120" s="32" t="str">
        <f>IF(ISBLANK(A120)," ",VLOOKUP(A120,'Product Database'!A:B,2,FALSE))</f>
        <v xml:space="preserve"> </v>
      </c>
      <c r="E120" s="31"/>
      <c r="F120" s="33"/>
    </row>
    <row r="121" spans="1:6" ht="12.3">
      <c r="A121" s="34"/>
      <c r="B121" s="30"/>
      <c r="C121" s="31"/>
      <c r="D121" s="32" t="str">
        <f>IF(ISBLANK(A121)," ",VLOOKUP(A121,'Product Database'!A:B,2,FALSE))</f>
        <v xml:space="preserve"> </v>
      </c>
      <c r="E121" s="31"/>
      <c r="F121" s="33"/>
    </row>
    <row r="122" spans="1:6" ht="12.3">
      <c r="A122" s="34"/>
      <c r="B122" s="30"/>
      <c r="C122" s="31"/>
      <c r="D122" s="32" t="str">
        <f>IF(ISBLANK(A122)," ",VLOOKUP(A122,'Product Database'!A:B,2,FALSE))</f>
        <v xml:space="preserve"> </v>
      </c>
      <c r="E122" s="31"/>
      <c r="F122" s="33"/>
    </row>
    <row r="123" spans="1:6" ht="12.3">
      <c r="A123" s="34"/>
      <c r="B123" s="30"/>
      <c r="C123" s="31"/>
      <c r="D123" s="32" t="str">
        <f>IF(ISBLANK(A123)," ",VLOOKUP(A123,'Product Database'!A:B,2,FALSE))</f>
        <v xml:space="preserve"> </v>
      </c>
      <c r="E123" s="31"/>
      <c r="F123" s="33"/>
    </row>
    <row r="124" spans="1:6" ht="12.3">
      <c r="A124" s="34"/>
      <c r="B124" s="30"/>
      <c r="C124" s="31"/>
      <c r="D124" s="32" t="str">
        <f>IF(ISBLANK(A124)," ",VLOOKUP(A124,'Product Database'!A:B,2,FALSE))</f>
        <v xml:space="preserve"> </v>
      </c>
      <c r="E124" s="31"/>
      <c r="F124" s="33"/>
    </row>
    <row r="125" spans="1:6" ht="12.3">
      <c r="A125" s="34"/>
      <c r="B125" s="30"/>
      <c r="C125" s="31"/>
      <c r="D125" s="32" t="str">
        <f>IF(ISBLANK(A125)," ",VLOOKUP(A125,'Product Database'!A:B,2,FALSE))</f>
        <v xml:space="preserve"> </v>
      </c>
      <c r="E125" s="31"/>
      <c r="F125" s="33"/>
    </row>
    <row r="126" spans="1:6" ht="12.3">
      <c r="A126" s="34"/>
      <c r="B126" s="30"/>
      <c r="C126" s="31"/>
      <c r="D126" s="32" t="str">
        <f>IF(ISBLANK(A126)," ",VLOOKUP(A126,'Product Database'!A:B,2,FALSE))</f>
        <v xml:space="preserve"> </v>
      </c>
      <c r="E126" s="31"/>
      <c r="F126" s="33"/>
    </row>
    <row r="127" spans="1:6" ht="12.3">
      <c r="A127" s="34"/>
      <c r="B127" s="30"/>
      <c r="C127" s="31"/>
      <c r="D127" s="32" t="str">
        <f>IF(ISBLANK(A127)," ",VLOOKUP(A127,'Product Database'!A:B,2,FALSE))</f>
        <v xml:space="preserve"> </v>
      </c>
      <c r="E127" s="31"/>
      <c r="F127" s="33"/>
    </row>
    <row r="128" spans="1:6" ht="12.3">
      <c r="A128" s="34"/>
      <c r="B128" s="30"/>
      <c r="C128" s="31"/>
      <c r="D128" s="32" t="str">
        <f>IF(ISBLANK(A128)," ",VLOOKUP(A128,'Product Database'!A:B,2,FALSE))</f>
        <v xml:space="preserve"> </v>
      </c>
      <c r="E128" s="31"/>
      <c r="F128" s="33"/>
    </row>
    <row r="129" spans="1:6" ht="12.3">
      <c r="A129" s="34"/>
      <c r="B129" s="30"/>
      <c r="C129" s="31"/>
      <c r="D129" s="32" t="str">
        <f>IF(ISBLANK(A129)," ",VLOOKUP(A129,'Product Database'!A:B,2,FALSE))</f>
        <v xml:space="preserve"> </v>
      </c>
      <c r="E129" s="31"/>
      <c r="F129" s="33"/>
    </row>
    <row r="130" spans="1:6" ht="12.3">
      <c r="A130" s="34"/>
      <c r="B130" s="30"/>
      <c r="C130" s="31"/>
      <c r="D130" s="32" t="str">
        <f>IF(ISBLANK(A130)," ",VLOOKUP(A130,'Product Database'!A:B,2,FALSE))</f>
        <v xml:space="preserve"> </v>
      </c>
      <c r="E130" s="31"/>
      <c r="F130" s="33"/>
    </row>
    <row r="131" spans="1:6" ht="12.3">
      <c r="A131" s="34"/>
      <c r="B131" s="30"/>
      <c r="C131" s="31"/>
      <c r="D131" s="32" t="str">
        <f>IF(ISBLANK(A131)," ",VLOOKUP(A131,'Product Database'!A:B,2,FALSE))</f>
        <v xml:space="preserve"> </v>
      </c>
      <c r="E131" s="31"/>
      <c r="F131" s="33"/>
    </row>
    <row r="132" spans="1:6" ht="12.3">
      <c r="A132" s="34"/>
      <c r="B132" s="30"/>
      <c r="C132" s="31"/>
      <c r="D132" s="32" t="str">
        <f>IF(ISBLANK(A132)," ",VLOOKUP(A132,'Product Database'!A:B,2,FALSE))</f>
        <v xml:space="preserve"> </v>
      </c>
      <c r="E132" s="31"/>
      <c r="F132" s="33"/>
    </row>
    <row r="133" spans="1:6" ht="12.3">
      <c r="A133" s="34"/>
      <c r="B133" s="30"/>
      <c r="C133" s="31"/>
      <c r="D133" s="32" t="str">
        <f>IF(ISBLANK(A133)," ",VLOOKUP(A133,'Product Database'!A:B,2,FALSE))</f>
        <v xml:space="preserve"> </v>
      </c>
      <c r="E133" s="31"/>
      <c r="F133" s="33"/>
    </row>
    <row r="134" spans="1:6" ht="12.3">
      <c r="A134" s="34"/>
      <c r="B134" s="30"/>
      <c r="C134" s="31"/>
      <c r="D134" s="32" t="str">
        <f>IF(ISBLANK(A134)," ",VLOOKUP(A134,'Product Database'!A:B,2,FALSE))</f>
        <v xml:space="preserve"> </v>
      </c>
      <c r="E134" s="31"/>
      <c r="F134" s="33"/>
    </row>
    <row r="135" spans="1:6" ht="12.3">
      <c r="A135" s="34"/>
      <c r="B135" s="30"/>
      <c r="C135" s="31"/>
      <c r="D135" s="32" t="str">
        <f>IF(ISBLANK(A135)," ",VLOOKUP(A135,'Product Database'!A:B,2,FALSE))</f>
        <v xml:space="preserve"> </v>
      </c>
      <c r="E135" s="31"/>
      <c r="F135" s="33"/>
    </row>
    <row r="136" spans="1:6" ht="12.3">
      <c r="A136" s="34"/>
      <c r="B136" s="30"/>
      <c r="C136" s="31"/>
      <c r="D136" s="32" t="str">
        <f>IF(ISBLANK(A136)," ",VLOOKUP(A136,'Product Database'!A:B,2,FALSE))</f>
        <v xml:space="preserve"> </v>
      </c>
      <c r="E136" s="31"/>
      <c r="F136" s="33"/>
    </row>
    <row r="137" spans="1:6" ht="12.3">
      <c r="A137" s="34"/>
      <c r="B137" s="30"/>
      <c r="C137" s="31"/>
      <c r="D137" s="32" t="str">
        <f>IF(ISBLANK(A137)," ",VLOOKUP(A137,'Product Database'!A:B,2,FALSE))</f>
        <v xml:space="preserve"> </v>
      </c>
      <c r="E137" s="31"/>
      <c r="F137" s="33"/>
    </row>
    <row r="138" spans="1:6" ht="12.3">
      <c r="A138" s="34"/>
      <c r="B138" s="30"/>
      <c r="C138" s="31"/>
      <c r="D138" s="32" t="str">
        <f>IF(ISBLANK(A138)," ",VLOOKUP(A138,'Product Database'!A:B,2,FALSE))</f>
        <v xml:space="preserve"> </v>
      </c>
      <c r="E138" s="31"/>
      <c r="F138" s="33"/>
    </row>
    <row r="139" spans="1:6" ht="12.3">
      <c r="A139" s="34"/>
      <c r="B139" s="30"/>
      <c r="C139" s="31"/>
      <c r="D139" s="32" t="str">
        <f>IF(ISBLANK(A139)," ",VLOOKUP(A139,'Product Database'!A:B,2,FALSE))</f>
        <v xml:space="preserve"> </v>
      </c>
      <c r="E139" s="31"/>
      <c r="F139" s="33"/>
    </row>
    <row r="140" spans="1:6" ht="12.3">
      <c r="A140" s="34"/>
      <c r="B140" s="30"/>
      <c r="C140" s="31"/>
      <c r="D140" s="32" t="str">
        <f>IF(ISBLANK(A140)," ",VLOOKUP(A140,'Product Database'!A:B,2,FALSE))</f>
        <v xml:space="preserve"> </v>
      </c>
      <c r="E140" s="31"/>
      <c r="F140" s="33"/>
    </row>
    <row r="141" spans="1:6" ht="12.3">
      <c r="A141" s="34"/>
      <c r="B141" s="30"/>
      <c r="C141" s="31"/>
      <c r="D141" s="32" t="str">
        <f>IF(ISBLANK(A141)," ",VLOOKUP(A141,'Product Database'!A:B,2,FALSE))</f>
        <v xml:space="preserve"> </v>
      </c>
      <c r="E141" s="31"/>
      <c r="F141" s="33"/>
    </row>
    <row r="142" spans="1:6" ht="12.3">
      <c r="A142" s="34"/>
      <c r="B142" s="30"/>
      <c r="C142" s="31"/>
      <c r="D142" s="32" t="str">
        <f>IF(ISBLANK(A142)," ",VLOOKUP(A142,'Product Database'!A:B,2,FALSE))</f>
        <v xml:space="preserve"> </v>
      </c>
      <c r="E142" s="31"/>
      <c r="F142" s="33"/>
    </row>
    <row r="143" spans="1:6" ht="12.3">
      <c r="A143" s="34"/>
      <c r="B143" s="30"/>
      <c r="C143" s="31"/>
      <c r="D143" s="32" t="str">
        <f>IF(ISBLANK(A143)," ",VLOOKUP(A143,'Product Database'!A:B,2,FALSE))</f>
        <v xml:space="preserve"> </v>
      </c>
      <c r="E143" s="31"/>
      <c r="F143" s="33"/>
    </row>
    <row r="144" spans="1:6" ht="12.3">
      <c r="A144" s="34"/>
      <c r="B144" s="30"/>
      <c r="C144" s="31"/>
      <c r="D144" s="32" t="str">
        <f>IF(ISBLANK(A144)," ",VLOOKUP(A144,'Product Database'!A:B,2,FALSE))</f>
        <v xml:space="preserve"> </v>
      </c>
      <c r="E144" s="31"/>
      <c r="F144" s="33"/>
    </row>
    <row r="145" spans="1:6" ht="12.3">
      <c r="A145" s="34"/>
      <c r="B145" s="30"/>
      <c r="C145" s="31"/>
      <c r="D145" s="32" t="str">
        <f>IF(ISBLANK(A145)," ",VLOOKUP(A145,'Product Database'!A:B,2,FALSE))</f>
        <v xml:space="preserve"> </v>
      </c>
      <c r="E145" s="31"/>
      <c r="F145" s="33"/>
    </row>
    <row r="146" spans="1:6" ht="12.3">
      <c r="A146" s="34"/>
      <c r="B146" s="30"/>
      <c r="C146" s="31"/>
      <c r="D146" s="32" t="str">
        <f>IF(ISBLANK(A146)," ",VLOOKUP(A146,'Product Database'!A:B,2,FALSE))</f>
        <v xml:space="preserve"> </v>
      </c>
      <c r="E146" s="31"/>
      <c r="F146" s="33"/>
    </row>
    <row r="147" spans="1:6" ht="12.3">
      <c r="A147" s="34"/>
      <c r="B147" s="30"/>
      <c r="C147" s="31"/>
      <c r="D147" s="32" t="str">
        <f>IF(ISBLANK(A147)," ",VLOOKUP(A147,'Product Database'!A:B,2,FALSE))</f>
        <v xml:space="preserve"> </v>
      </c>
      <c r="E147" s="31"/>
      <c r="F147" s="33"/>
    </row>
    <row r="148" spans="1:6" ht="12.3">
      <c r="A148" s="34"/>
      <c r="B148" s="30"/>
      <c r="C148" s="31"/>
      <c r="D148" s="32" t="str">
        <f>IF(ISBLANK(A148)," ",VLOOKUP(A148,'Product Database'!A:B,2,FALSE))</f>
        <v xml:space="preserve"> </v>
      </c>
      <c r="E148" s="31"/>
      <c r="F148" s="33"/>
    </row>
    <row r="149" spans="1:6" ht="12.3">
      <c r="A149" s="34"/>
      <c r="B149" s="30"/>
      <c r="C149" s="31"/>
      <c r="D149" s="32" t="str">
        <f>IF(ISBLANK(A149)," ",VLOOKUP(A149,'Product Database'!A:B,2,FALSE))</f>
        <v xml:space="preserve"> </v>
      </c>
      <c r="E149" s="31"/>
      <c r="F149" s="33"/>
    </row>
    <row r="150" spans="1:6" ht="12.3">
      <c r="A150" s="34"/>
      <c r="B150" s="30"/>
      <c r="C150" s="31"/>
      <c r="D150" s="32" t="str">
        <f>IF(ISBLANK(A150)," ",VLOOKUP(A150,'Product Database'!A:B,2,FALSE))</f>
        <v xml:space="preserve"> </v>
      </c>
      <c r="E150" s="31"/>
      <c r="F150" s="33"/>
    </row>
    <row r="151" spans="1:6" ht="12.3">
      <c r="A151" s="34"/>
      <c r="B151" s="30"/>
      <c r="C151" s="31"/>
      <c r="D151" s="32" t="str">
        <f>IF(ISBLANK(A151)," ",VLOOKUP(A151,'Product Database'!A:B,2,FALSE))</f>
        <v xml:space="preserve"> </v>
      </c>
      <c r="E151" s="31"/>
      <c r="F151" s="33"/>
    </row>
    <row r="152" spans="1:6" ht="12.3">
      <c r="A152" s="34"/>
      <c r="B152" s="30"/>
      <c r="C152" s="31"/>
      <c r="D152" s="32" t="str">
        <f>IF(ISBLANK(A152)," ",VLOOKUP(A152,'Product Database'!A:B,2,FALSE))</f>
        <v xml:space="preserve"> </v>
      </c>
      <c r="E152" s="31"/>
      <c r="F152" s="33"/>
    </row>
    <row r="153" spans="1:6" ht="12.3">
      <c r="A153" s="34"/>
      <c r="B153" s="30"/>
      <c r="C153" s="31"/>
      <c r="D153" s="32" t="str">
        <f>IF(ISBLANK(A153)," ",VLOOKUP(A153,'Product Database'!A:B,2,FALSE))</f>
        <v xml:space="preserve"> </v>
      </c>
      <c r="E153" s="31"/>
      <c r="F153" s="33"/>
    </row>
    <row r="154" spans="1:6" ht="12.3">
      <c r="A154" s="34"/>
      <c r="B154" s="30"/>
      <c r="C154" s="31"/>
      <c r="D154" s="32" t="str">
        <f>IF(ISBLANK(A154)," ",VLOOKUP(A154,'Product Database'!A:B,2,FALSE))</f>
        <v xml:space="preserve"> </v>
      </c>
      <c r="E154" s="31"/>
      <c r="F154" s="33"/>
    </row>
    <row r="155" spans="1:6" ht="12.3">
      <c r="A155" s="34"/>
      <c r="B155" s="30"/>
      <c r="C155" s="31"/>
      <c r="D155" s="32" t="str">
        <f>IF(ISBLANK(A155)," ",VLOOKUP(A155,'Product Database'!A:B,2,FALSE))</f>
        <v xml:space="preserve"> </v>
      </c>
      <c r="E155" s="31"/>
      <c r="F155" s="33"/>
    </row>
    <row r="156" spans="1:6" ht="12.3">
      <c r="A156" s="34"/>
      <c r="B156" s="30"/>
      <c r="C156" s="31"/>
      <c r="D156" s="32" t="str">
        <f>IF(ISBLANK(A156)," ",VLOOKUP(A156,'Product Database'!A:B,2,FALSE))</f>
        <v xml:space="preserve"> </v>
      </c>
      <c r="E156" s="31"/>
      <c r="F156" s="33"/>
    </row>
    <row r="157" spans="1:6" ht="12.3">
      <c r="A157" s="34"/>
      <c r="B157" s="30"/>
      <c r="C157" s="31"/>
      <c r="D157" s="32" t="str">
        <f>IF(ISBLANK(A157)," ",VLOOKUP(A157,'Product Database'!A:B,2,FALSE))</f>
        <v xml:space="preserve"> </v>
      </c>
      <c r="E157" s="31"/>
      <c r="F157" s="33"/>
    </row>
    <row r="158" spans="1:6" ht="12.3">
      <c r="A158" s="34"/>
      <c r="B158" s="30"/>
      <c r="C158" s="31"/>
      <c r="D158" s="32" t="str">
        <f>IF(ISBLANK(A158)," ",VLOOKUP(A158,'Product Database'!A:B,2,FALSE))</f>
        <v xml:space="preserve"> </v>
      </c>
      <c r="E158" s="31"/>
      <c r="F158" s="33"/>
    </row>
    <row r="159" spans="1:6" ht="12.3">
      <c r="A159" s="34"/>
      <c r="B159" s="30"/>
      <c r="C159" s="31"/>
      <c r="D159" s="32" t="str">
        <f>IF(ISBLANK(A159)," ",VLOOKUP(A159,'Product Database'!A:B,2,FALSE))</f>
        <v xml:space="preserve"> </v>
      </c>
      <c r="E159" s="31"/>
      <c r="F159" s="33"/>
    </row>
    <row r="160" spans="1:6" ht="12.3">
      <c r="A160" s="34"/>
      <c r="B160" s="30"/>
      <c r="C160" s="31"/>
      <c r="D160" s="32" t="str">
        <f>IF(ISBLANK(A160)," ",VLOOKUP(A160,'Product Database'!A:B,2,FALSE))</f>
        <v xml:space="preserve"> </v>
      </c>
      <c r="E160" s="31"/>
      <c r="F160" s="33"/>
    </row>
    <row r="161" spans="1:6" ht="12.3">
      <c r="A161" s="34"/>
      <c r="B161" s="30"/>
      <c r="C161" s="31"/>
      <c r="D161" s="32" t="str">
        <f>IF(ISBLANK(A161)," ",VLOOKUP(A161,'Product Database'!A:B,2,FALSE))</f>
        <v xml:space="preserve"> </v>
      </c>
      <c r="E161" s="31"/>
      <c r="F161" s="33"/>
    </row>
    <row r="162" spans="1:6" ht="12.3">
      <c r="A162" s="34"/>
      <c r="B162" s="30"/>
      <c r="C162" s="31"/>
      <c r="D162" s="32" t="str">
        <f>IF(ISBLANK(A162)," ",VLOOKUP(A162,'Product Database'!A:B,2,FALSE))</f>
        <v xml:space="preserve"> </v>
      </c>
      <c r="E162" s="31"/>
      <c r="F162" s="33"/>
    </row>
    <row r="163" spans="1:6" ht="12.3">
      <c r="A163" s="34"/>
      <c r="B163" s="30"/>
      <c r="C163" s="31"/>
      <c r="D163" s="32" t="str">
        <f>IF(ISBLANK(A163)," ",VLOOKUP(A163,'Product Database'!A:B,2,FALSE))</f>
        <v xml:space="preserve"> </v>
      </c>
      <c r="E163" s="31"/>
      <c r="F163" s="33"/>
    </row>
    <row r="164" spans="1:6" ht="12.3">
      <c r="A164" s="34"/>
      <c r="B164" s="30"/>
      <c r="C164" s="31"/>
      <c r="D164" s="32" t="str">
        <f>IF(ISBLANK(A164)," ",VLOOKUP(A164,'Product Database'!A:B,2,FALSE))</f>
        <v xml:space="preserve"> </v>
      </c>
      <c r="E164" s="31"/>
      <c r="F164" s="33"/>
    </row>
    <row r="165" spans="1:6" ht="12.3">
      <c r="A165" s="34"/>
      <c r="B165" s="30"/>
      <c r="C165" s="31"/>
      <c r="D165" s="32" t="str">
        <f>IF(ISBLANK(A165)," ",VLOOKUP(A165,'Product Database'!A:B,2,FALSE))</f>
        <v xml:space="preserve"> </v>
      </c>
      <c r="E165" s="31"/>
      <c r="F165" s="33"/>
    </row>
    <row r="166" spans="1:6" ht="12.3">
      <c r="A166" s="34"/>
      <c r="B166" s="30"/>
      <c r="C166" s="31"/>
      <c r="D166" s="32" t="str">
        <f>IF(ISBLANK(A166)," ",VLOOKUP(A166,'Product Database'!A:B,2,FALSE))</f>
        <v xml:space="preserve"> </v>
      </c>
      <c r="E166" s="31"/>
      <c r="F166" s="33"/>
    </row>
    <row r="167" spans="1:6" ht="12.3">
      <c r="A167" s="34"/>
      <c r="B167" s="30"/>
      <c r="C167" s="31"/>
      <c r="D167" s="32" t="str">
        <f>IF(ISBLANK(A167)," ",VLOOKUP(A167,'Product Database'!A:B,2,FALSE))</f>
        <v xml:space="preserve"> </v>
      </c>
      <c r="E167" s="31"/>
      <c r="F167" s="33"/>
    </row>
    <row r="168" spans="1:6" ht="12.3">
      <c r="A168" s="34"/>
      <c r="B168" s="30"/>
      <c r="C168" s="31"/>
      <c r="D168" s="32" t="str">
        <f>IF(ISBLANK(A168)," ",VLOOKUP(A168,'Product Database'!A:B,2,FALSE))</f>
        <v xml:space="preserve"> </v>
      </c>
      <c r="E168" s="31"/>
      <c r="F168" s="33"/>
    </row>
    <row r="169" spans="1:6" ht="12.3">
      <c r="A169" s="34"/>
      <c r="B169" s="30"/>
      <c r="C169" s="31"/>
      <c r="D169" s="32" t="str">
        <f>IF(ISBLANK(A169)," ",VLOOKUP(A169,'Product Database'!A:B,2,FALSE))</f>
        <v xml:space="preserve"> </v>
      </c>
      <c r="E169" s="31"/>
      <c r="F169" s="33"/>
    </row>
    <row r="170" spans="1:6" ht="12.3">
      <c r="A170" s="34"/>
      <c r="B170" s="30"/>
      <c r="C170" s="31"/>
      <c r="D170" s="32" t="str">
        <f>IF(ISBLANK(A170)," ",VLOOKUP(A170,'Product Database'!A:B,2,FALSE))</f>
        <v xml:space="preserve"> </v>
      </c>
      <c r="E170" s="31"/>
      <c r="F170" s="33"/>
    </row>
    <row r="171" spans="1:6" ht="12.3">
      <c r="A171" s="34"/>
      <c r="B171" s="30"/>
      <c r="C171" s="31"/>
      <c r="D171" s="32" t="str">
        <f>IF(ISBLANK(A171)," ",VLOOKUP(A171,'Product Database'!A:B,2,FALSE))</f>
        <v xml:space="preserve"> </v>
      </c>
      <c r="E171" s="31"/>
      <c r="F171" s="33"/>
    </row>
    <row r="172" spans="1:6" ht="12.3">
      <c r="A172" s="34"/>
      <c r="B172" s="30"/>
      <c r="C172" s="31"/>
      <c r="D172" s="32" t="str">
        <f>IF(ISBLANK(A172)," ",VLOOKUP(A172,'Product Database'!A:B,2,FALSE))</f>
        <v xml:space="preserve"> </v>
      </c>
      <c r="E172" s="31"/>
      <c r="F172" s="33"/>
    </row>
    <row r="173" spans="1:6" ht="12.3">
      <c r="A173" s="34"/>
      <c r="B173" s="30"/>
      <c r="C173" s="31"/>
      <c r="D173" s="32" t="str">
        <f>IF(ISBLANK(A173)," ",VLOOKUP(A173,'Product Database'!A:B,2,FALSE))</f>
        <v xml:space="preserve"> </v>
      </c>
      <c r="E173" s="31"/>
      <c r="F173" s="33"/>
    </row>
    <row r="174" spans="1:6" ht="12.3">
      <c r="A174" s="34"/>
      <c r="B174" s="30"/>
      <c r="C174" s="31"/>
      <c r="D174" s="32" t="str">
        <f>IF(ISBLANK(A174)," ",VLOOKUP(A174,'Product Database'!A:B,2,FALSE))</f>
        <v xml:space="preserve"> </v>
      </c>
      <c r="E174" s="31"/>
      <c r="F174" s="33"/>
    </row>
    <row r="175" spans="1:6" ht="12.3">
      <c r="A175" s="34"/>
      <c r="B175" s="30"/>
      <c r="C175" s="31"/>
      <c r="D175" s="32" t="str">
        <f>IF(ISBLANK(A175)," ",VLOOKUP(A175,'Product Database'!A:B,2,FALSE))</f>
        <v xml:space="preserve"> </v>
      </c>
      <c r="E175" s="31"/>
      <c r="F175" s="33"/>
    </row>
    <row r="176" spans="1:6" ht="12.3">
      <c r="A176" s="34"/>
      <c r="B176" s="30"/>
      <c r="C176" s="31"/>
      <c r="D176" s="32" t="str">
        <f>IF(ISBLANK(A176)," ",VLOOKUP(A176,'Product Database'!A:B,2,FALSE))</f>
        <v xml:space="preserve"> </v>
      </c>
      <c r="E176" s="31"/>
      <c r="F176" s="33"/>
    </row>
    <row r="177" spans="1:6" ht="12.3">
      <c r="A177" s="34"/>
      <c r="B177" s="30"/>
      <c r="C177" s="31"/>
      <c r="D177" s="32" t="str">
        <f>IF(ISBLANK(A177)," ",VLOOKUP(A177,'Product Database'!A:B,2,FALSE))</f>
        <v xml:space="preserve"> </v>
      </c>
      <c r="E177" s="31"/>
      <c r="F177" s="33"/>
    </row>
    <row r="178" spans="1:6" ht="12.3">
      <c r="A178" s="34"/>
      <c r="B178" s="30"/>
      <c r="C178" s="31"/>
      <c r="D178" s="32" t="str">
        <f>IF(ISBLANK(A178)," ",VLOOKUP(A178,'Product Database'!A:B,2,FALSE))</f>
        <v xml:space="preserve"> </v>
      </c>
      <c r="E178" s="31"/>
      <c r="F178" s="33"/>
    </row>
    <row r="179" spans="1:6" ht="12.3">
      <c r="A179" s="34"/>
      <c r="B179" s="30"/>
      <c r="C179" s="31"/>
      <c r="D179" s="32" t="str">
        <f>IF(ISBLANK(A179)," ",VLOOKUP(A179,'Product Database'!A:B,2,FALSE))</f>
        <v xml:space="preserve"> </v>
      </c>
      <c r="E179" s="31"/>
      <c r="F179" s="33"/>
    </row>
    <row r="180" spans="1:6" ht="12.3">
      <c r="A180" s="34"/>
      <c r="B180" s="30"/>
      <c r="C180" s="31"/>
      <c r="D180" s="32" t="str">
        <f>IF(ISBLANK(A180)," ",VLOOKUP(A180,'Product Database'!A:B,2,FALSE))</f>
        <v xml:space="preserve"> </v>
      </c>
      <c r="E180" s="31"/>
      <c r="F180" s="33"/>
    </row>
    <row r="181" spans="1:6" ht="12.3">
      <c r="A181" s="34"/>
      <c r="B181" s="30"/>
      <c r="C181" s="31"/>
      <c r="D181" s="32" t="str">
        <f>IF(ISBLANK(A181)," ",VLOOKUP(A181,'Product Database'!A:B,2,FALSE))</f>
        <v xml:space="preserve"> </v>
      </c>
      <c r="E181" s="31"/>
      <c r="F181" s="33"/>
    </row>
    <row r="182" spans="1:6" ht="12.3">
      <c r="A182" s="34"/>
      <c r="B182" s="30"/>
      <c r="C182" s="31"/>
      <c r="D182" s="32" t="str">
        <f>IF(ISBLANK(A182)," ",VLOOKUP(A182,'Product Database'!A:B,2,FALSE))</f>
        <v xml:space="preserve"> </v>
      </c>
      <c r="E182" s="31"/>
      <c r="F182" s="33"/>
    </row>
    <row r="183" spans="1:6" ht="12.3">
      <c r="A183" s="34"/>
      <c r="B183" s="30"/>
      <c r="C183" s="31"/>
      <c r="D183" s="32" t="str">
        <f>IF(ISBLANK(A183)," ",VLOOKUP(A183,'Product Database'!A:B,2,FALSE))</f>
        <v xml:space="preserve"> </v>
      </c>
      <c r="E183" s="31"/>
      <c r="F183" s="33"/>
    </row>
    <row r="184" spans="1:6" ht="12.3">
      <c r="A184" s="34"/>
      <c r="B184" s="30"/>
      <c r="C184" s="31"/>
      <c r="D184" s="32" t="str">
        <f>IF(ISBLANK(A184)," ",VLOOKUP(A184,'Product Database'!A:B,2,FALSE))</f>
        <v xml:space="preserve"> </v>
      </c>
      <c r="E184" s="31"/>
      <c r="F184" s="33"/>
    </row>
    <row r="185" spans="1:6" ht="12.3">
      <c r="A185" s="34"/>
      <c r="B185" s="30"/>
      <c r="C185" s="31"/>
      <c r="D185" s="32" t="str">
        <f>IF(ISBLANK(A185)," ",VLOOKUP(A185,'Product Database'!A:B,2,FALSE))</f>
        <v xml:space="preserve"> </v>
      </c>
      <c r="E185" s="31"/>
      <c r="F185" s="33"/>
    </row>
    <row r="186" spans="1:6" ht="12.3">
      <c r="A186" s="34"/>
      <c r="B186" s="30"/>
      <c r="C186" s="31"/>
      <c r="D186" s="32" t="str">
        <f>IF(ISBLANK(A186)," ",VLOOKUP(A186,'Product Database'!A:B,2,FALSE))</f>
        <v xml:space="preserve"> </v>
      </c>
      <c r="E186" s="31"/>
      <c r="F186" s="33"/>
    </row>
    <row r="187" spans="1:6" ht="12.3">
      <c r="A187" s="34"/>
      <c r="B187" s="30"/>
      <c r="C187" s="31"/>
      <c r="D187" s="32" t="str">
        <f>IF(ISBLANK(A187)," ",VLOOKUP(A187,'Product Database'!A:B,2,FALSE))</f>
        <v xml:space="preserve"> </v>
      </c>
      <c r="E187" s="31"/>
      <c r="F187" s="33"/>
    </row>
    <row r="188" spans="1:6" ht="12.3">
      <c r="A188" s="34"/>
      <c r="B188" s="30"/>
      <c r="C188" s="31"/>
      <c r="D188" s="32" t="str">
        <f>IF(ISBLANK(A188)," ",VLOOKUP(A188,'Product Database'!A:B,2,FALSE))</f>
        <v xml:space="preserve"> </v>
      </c>
      <c r="E188" s="31"/>
      <c r="F188" s="33"/>
    </row>
    <row r="189" spans="1:6" ht="12.3">
      <c r="A189" s="34"/>
      <c r="B189" s="30"/>
      <c r="C189" s="31"/>
      <c r="D189" s="32" t="str">
        <f>IF(ISBLANK(A189)," ",VLOOKUP(A189,'Product Database'!A:B,2,FALSE))</f>
        <v xml:space="preserve"> </v>
      </c>
      <c r="E189" s="31"/>
      <c r="F189" s="33"/>
    </row>
    <row r="190" spans="1:6" ht="12.3">
      <c r="A190" s="34"/>
      <c r="B190" s="30"/>
      <c r="C190" s="31"/>
      <c r="D190" s="32" t="str">
        <f>IF(ISBLANK(A190)," ",VLOOKUP(A190,'Product Database'!A:B,2,FALSE))</f>
        <v xml:space="preserve"> </v>
      </c>
      <c r="E190" s="31"/>
      <c r="F190" s="33"/>
    </row>
    <row r="191" spans="1:6" ht="12.3">
      <c r="A191" s="34"/>
      <c r="B191" s="30"/>
      <c r="C191" s="31"/>
      <c r="D191" s="32" t="str">
        <f>IF(ISBLANK(A191)," ",VLOOKUP(A191,'Product Database'!A:B,2,FALSE))</f>
        <v xml:space="preserve"> </v>
      </c>
      <c r="E191" s="31"/>
      <c r="F191" s="33"/>
    </row>
    <row r="192" spans="1:6" ht="12.3">
      <c r="A192" s="34"/>
      <c r="B192" s="30"/>
      <c r="C192" s="31"/>
      <c r="D192" s="32" t="str">
        <f>IF(ISBLANK(A192)," ",VLOOKUP(A192,'Product Database'!A:B,2,FALSE))</f>
        <v xml:space="preserve"> </v>
      </c>
      <c r="E192" s="31"/>
      <c r="F192" s="33"/>
    </row>
    <row r="193" spans="1:6" ht="12.3">
      <c r="A193" s="34"/>
      <c r="B193" s="30"/>
      <c r="C193" s="31"/>
      <c r="D193" s="32" t="str">
        <f>IF(ISBLANK(A193)," ",VLOOKUP(A193,'Product Database'!A:B,2,FALSE))</f>
        <v xml:space="preserve"> </v>
      </c>
      <c r="E193" s="31"/>
      <c r="F193" s="33"/>
    </row>
    <row r="194" spans="1:6" ht="12.3">
      <c r="A194" s="34"/>
      <c r="B194" s="30"/>
      <c r="C194" s="31"/>
      <c r="D194" s="32" t="str">
        <f>IF(ISBLANK(A194)," ",VLOOKUP(A194,'Product Database'!A:B,2,FALSE))</f>
        <v xml:space="preserve"> </v>
      </c>
      <c r="E194" s="31"/>
      <c r="F194" s="33"/>
    </row>
    <row r="195" spans="1:6" ht="12.3">
      <c r="A195" s="34"/>
      <c r="B195" s="30"/>
      <c r="C195" s="31"/>
      <c r="D195" s="32" t="str">
        <f>IF(ISBLANK(A195)," ",VLOOKUP(A195,'Product Database'!A:B,2,FALSE))</f>
        <v xml:space="preserve"> </v>
      </c>
      <c r="E195" s="31"/>
      <c r="F195" s="33"/>
    </row>
    <row r="196" spans="1:6" ht="12.3">
      <c r="A196" s="34"/>
      <c r="B196" s="30"/>
      <c r="C196" s="31"/>
      <c r="D196" s="32" t="str">
        <f>IF(ISBLANK(A196)," ",VLOOKUP(A196,'Product Database'!A:B,2,FALSE))</f>
        <v xml:space="preserve"> </v>
      </c>
      <c r="E196" s="31"/>
      <c r="F196" s="33"/>
    </row>
    <row r="197" spans="1:6" ht="12.3">
      <c r="A197" s="34"/>
      <c r="B197" s="30"/>
      <c r="C197" s="31"/>
      <c r="D197" s="32" t="str">
        <f>IF(ISBLANK(A197)," ",VLOOKUP(A197,'Product Database'!A:B,2,FALSE))</f>
        <v xml:space="preserve"> </v>
      </c>
      <c r="E197" s="31"/>
      <c r="F197" s="33"/>
    </row>
    <row r="198" spans="1:6" ht="12.3">
      <c r="A198" s="34"/>
      <c r="B198" s="30"/>
      <c r="C198" s="31"/>
      <c r="D198" s="32" t="str">
        <f>IF(ISBLANK(A198)," ",VLOOKUP(A198,'Product Database'!A:B,2,FALSE))</f>
        <v xml:space="preserve"> </v>
      </c>
      <c r="E198" s="31"/>
      <c r="F198" s="33"/>
    </row>
    <row r="199" spans="1:6" ht="12.3">
      <c r="A199" s="34"/>
      <c r="B199" s="30"/>
      <c r="C199" s="31"/>
      <c r="D199" s="32" t="str">
        <f>IF(ISBLANK(A199)," ",VLOOKUP(A199,'Product Database'!A:B,2,FALSE))</f>
        <v xml:space="preserve"> </v>
      </c>
      <c r="E199" s="31"/>
      <c r="F199" s="33"/>
    </row>
    <row r="200" spans="1:6" ht="12.3">
      <c r="A200" s="34"/>
      <c r="B200" s="30"/>
      <c r="C200" s="31"/>
      <c r="D200" s="32" t="str">
        <f>IF(ISBLANK(A200)," ",VLOOKUP(A200,'Product Database'!A:B,2,FALSE))</f>
        <v xml:space="preserve"> </v>
      </c>
      <c r="E200" s="31"/>
      <c r="F200" s="33"/>
    </row>
    <row r="201" spans="1:6" ht="12.3">
      <c r="A201" s="34"/>
      <c r="B201" s="30"/>
      <c r="C201" s="31"/>
      <c r="D201" s="32" t="str">
        <f>IF(ISBLANK(A201)," ",VLOOKUP(A201,'Product Database'!A:B,2,FALSE))</f>
        <v xml:space="preserve"> </v>
      </c>
      <c r="E201" s="31"/>
      <c r="F201" s="33"/>
    </row>
    <row r="202" spans="1:6" ht="12.3">
      <c r="A202" s="34"/>
      <c r="B202" s="30"/>
      <c r="C202" s="31"/>
      <c r="D202" s="32" t="str">
        <f>IF(ISBLANK(A202)," ",VLOOKUP(A202,'Product Database'!A:B,2,FALSE))</f>
        <v xml:space="preserve"> </v>
      </c>
      <c r="E202" s="31"/>
      <c r="F202" s="33"/>
    </row>
    <row r="203" spans="1:6" ht="12.3">
      <c r="A203" s="34"/>
      <c r="B203" s="30"/>
      <c r="C203" s="31"/>
      <c r="D203" s="32" t="str">
        <f>IF(ISBLANK(A203)," ",VLOOKUP(A203,'Product Database'!A:B,2,FALSE))</f>
        <v xml:space="preserve"> </v>
      </c>
      <c r="E203" s="31"/>
      <c r="F203" s="33"/>
    </row>
    <row r="204" spans="1:6" ht="12.3">
      <c r="A204" s="34"/>
      <c r="B204" s="30"/>
      <c r="C204" s="31"/>
      <c r="D204" s="32" t="str">
        <f>IF(ISBLANK(A204)," ",VLOOKUP(A204,'Product Database'!A:B,2,FALSE))</f>
        <v xml:space="preserve"> </v>
      </c>
      <c r="E204" s="31"/>
      <c r="F204" s="33"/>
    </row>
    <row r="205" spans="1:6" ht="12.3">
      <c r="A205" s="34"/>
      <c r="B205" s="30"/>
      <c r="C205" s="31"/>
      <c r="D205" s="32" t="str">
        <f>IF(ISBLANK(A205)," ",VLOOKUP(A205,'Product Database'!A:B,2,FALSE))</f>
        <v xml:space="preserve"> </v>
      </c>
      <c r="E205" s="31"/>
      <c r="F205" s="33"/>
    </row>
    <row r="206" spans="1:6" ht="12.3">
      <c r="A206" s="34"/>
      <c r="B206" s="30"/>
      <c r="C206" s="31"/>
      <c r="D206" s="32" t="str">
        <f>IF(ISBLANK(A206)," ",VLOOKUP(A206,'Product Database'!A:B,2,FALSE))</f>
        <v xml:space="preserve"> </v>
      </c>
      <c r="E206" s="31"/>
      <c r="F206" s="33"/>
    </row>
    <row r="207" spans="1:6" ht="12.3">
      <c r="A207" s="34"/>
      <c r="B207" s="30"/>
      <c r="C207" s="31"/>
      <c r="D207" s="32" t="str">
        <f>IF(ISBLANK(A207)," ",VLOOKUP(A207,'Product Database'!A:B,2,FALSE))</f>
        <v xml:space="preserve"> </v>
      </c>
      <c r="E207" s="31"/>
      <c r="F207" s="33"/>
    </row>
    <row r="208" spans="1:6" ht="12.3">
      <c r="A208" s="34"/>
      <c r="B208" s="30"/>
      <c r="C208" s="31"/>
      <c r="D208" s="32" t="str">
        <f>IF(ISBLANK(A208)," ",VLOOKUP(A208,'Product Database'!A:B,2,FALSE))</f>
        <v xml:space="preserve"> </v>
      </c>
      <c r="E208" s="31"/>
      <c r="F208" s="33"/>
    </row>
    <row r="209" spans="1:6" ht="12.3">
      <c r="A209" s="34"/>
      <c r="B209" s="30"/>
      <c r="C209" s="31"/>
      <c r="D209" s="32" t="str">
        <f>IF(ISBLANK(A209)," ",VLOOKUP(A209,'Product Database'!A:B,2,FALSE))</f>
        <v xml:space="preserve"> </v>
      </c>
      <c r="E209" s="31"/>
      <c r="F209" s="33"/>
    </row>
    <row r="210" spans="1:6" ht="12.3">
      <c r="A210" s="34"/>
      <c r="B210" s="30"/>
      <c r="C210" s="31"/>
      <c r="D210" s="32" t="str">
        <f>IF(ISBLANK(A210)," ",VLOOKUP(A210,'Product Database'!A:B,2,FALSE))</f>
        <v xml:space="preserve"> </v>
      </c>
      <c r="E210" s="31"/>
      <c r="F210" s="33"/>
    </row>
    <row r="211" spans="1:6" ht="12.3">
      <c r="A211" s="34"/>
      <c r="B211" s="30"/>
      <c r="C211" s="31"/>
      <c r="D211" s="32" t="str">
        <f>IF(ISBLANK(A211)," ",VLOOKUP(A211,'Product Database'!A:B,2,FALSE))</f>
        <v xml:space="preserve"> </v>
      </c>
      <c r="E211" s="31"/>
      <c r="F211" s="33"/>
    </row>
    <row r="212" spans="1:6" ht="12.3">
      <c r="A212" s="34"/>
      <c r="B212" s="30"/>
      <c r="C212" s="31"/>
      <c r="D212" s="32" t="str">
        <f>IF(ISBLANK(A212)," ",VLOOKUP(A212,'Product Database'!A:B,2,FALSE))</f>
        <v xml:space="preserve"> </v>
      </c>
      <c r="E212" s="31"/>
      <c r="F212" s="33"/>
    </row>
    <row r="213" spans="1:6" ht="12.3">
      <c r="A213" s="34"/>
      <c r="B213" s="30"/>
      <c r="C213" s="31"/>
      <c r="D213" s="32" t="str">
        <f>IF(ISBLANK(A213)," ",VLOOKUP(A213,'Product Database'!A:B,2,FALSE))</f>
        <v xml:space="preserve"> </v>
      </c>
      <c r="E213" s="31"/>
      <c r="F213" s="33"/>
    </row>
    <row r="214" spans="1:6" ht="12.3">
      <c r="A214" s="34"/>
      <c r="B214" s="30"/>
      <c r="C214" s="31"/>
      <c r="D214" s="32" t="str">
        <f>IF(ISBLANK(A214)," ",VLOOKUP(A214,'Product Database'!A:B,2,FALSE))</f>
        <v xml:space="preserve"> </v>
      </c>
      <c r="E214" s="31"/>
      <c r="F214" s="33"/>
    </row>
    <row r="215" spans="1:6" ht="12.3">
      <c r="A215" s="34"/>
      <c r="B215" s="30"/>
      <c r="C215" s="31"/>
      <c r="D215" s="32" t="str">
        <f>IF(ISBLANK(A215)," ",VLOOKUP(A215,'Product Database'!A:B,2,FALSE))</f>
        <v xml:space="preserve"> </v>
      </c>
      <c r="E215" s="31"/>
      <c r="F215" s="33"/>
    </row>
    <row r="216" spans="1:6" ht="12.3">
      <c r="A216" s="34"/>
      <c r="B216" s="30"/>
      <c r="C216" s="31"/>
      <c r="D216" s="32" t="str">
        <f>IF(ISBLANK(A216)," ",VLOOKUP(A216,'Product Database'!A:B,2,FALSE))</f>
        <v xml:space="preserve"> </v>
      </c>
      <c r="E216" s="31"/>
      <c r="F216" s="33"/>
    </row>
    <row r="217" spans="1:6" ht="12.3">
      <c r="A217" s="34"/>
      <c r="B217" s="30"/>
      <c r="C217" s="31"/>
      <c r="D217" s="32" t="str">
        <f>IF(ISBLANK(A217)," ",VLOOKUP(A217,'Product Database'!A:B,2,FALSE))</f>
        <v xml:space="preserve"> </v>
      </c>
      <c r="E217" s="31"/>
      <c r="F217" s="33"/>
    </row>
    <row r="218" spans="1:6" ht="12.3">
      <c r="A218" s="34"/>
      <c r="B218" s="30"/>
      <c r="C218" s="31"/>
      <c r="D218" s="32" t="str">
        <f>IF(ISBLANK(A218)," ",VLOOKUP(A218,'Product Database'!A:B,2,FALSE))</f>
        <v xml:space="preserve"> </v>
      </c>
      <c r="E218" s="31"/>
      <c r="F218" s="33"/>
    </row>
    <row r="219" spans="1:6" ht="12.3">
      <c r="A219" s="34"/>
      <c r="B219" s="30"/>
      <c r="C219" s="31"/>
      <c r="D219" s="32" t="str">
        <f>IF(ISBLANK(A219)," ",VLOOKUP(A219,'Product Database'!A:B,2,FALSE))</f>
        <v xml:space="preserve"> </v>
      </c>
      <c r="E219" s="31"/>
      <c r="F219" s="33"/>
    </row>
    <row r="220" spans="1:6" ht="12.3">
      <c r="A220" s="34"/>
      <c r="B220" s="30"/>
      <c r="C220" s="31"/>
      <c r="D220" s="32" t="str">
        <f>IF(ISBLANK(A220)," ",VLOOKUP(A220,'Product Database'!A:B,2,FALSE))</f>
        <v xml:space="preserve"> </v>
      </c>
      <c r="E220" s="31"/>
      <c r="F220" s="33"/>
    </row>
    <row r="221" spans="1:6" ht="12.3">
      <c r="A221" s="34"/>
      <c r="B221" s="30"/>
      <c r="C221" s="31"/>
      <c r="D221" s="32" t="str">
        <f>IF(ISBLANK(A221)," ",VLOOKUP(A221,'Product Database'!A:B,2,FALSE))</f>
        <v xml:space="preserve"> </v>
      </c>
      <c r="E221" s="31"/>
      <c r="F221" s="33"/>
    </row>
    <row r="222" spans="1:6" ht="12.3">
      <c r="A222" s="34"/>
      <c r="B222" s="30"/>
      <c r="C222" s="31"/>
      <c r="D222" s="32" t="str">
        <f>IF(ISBLANK(A222)," ",VLOOKUP(A222,'Product Database'!A:B,2,FALSE))</f>
        <v xml:space="preserve"> </v>
      </c>
      <c r="E222" s="31"/>
      <c r="F222" s="33"/>
    </row>
    <row r="223" spans="1:6" ht="12.3">
      <c r="A223" s="34"/>
      <c r="B223" s="30"/>
      <c r="C223" s="31"/>
      <c r="D223" s="32" t="str">
        <f>IF(ISBLANK(A223)," ",VLOOKUP(A223,'Product Database'!A:B,2,FALSE))</f>
        <v xml:space="preserve"> </v>
      </c>
      <c r="E223" s="31"/>
      <c r="F223" s="33"/>
    </row>
    <row r="224" spans="1:6" ht="12.3">
      <c r="A224" s="34"/>
      <c r="B224" s="30"/>
      <c r="C224" s="31"/>
      <c r="D224" s="32" t="str">
        <f>IF(ISBLANK(A224)," ",VLOOKUP(A224,'Product Database'!A:B,2,FALSE))</f>
        <v xml:space="preserve"> </v>
      </c>
      <c r="E224" s="31"/>
      <c r="F224" s="33"/>
    </row>
    <row r="225" spans="1:6" ht="12.3">
      <c r="A225" s="34"/>
      <c r="B225" s="30"/>
      <c r="C225" s="31"/>
      <c r="D225" s="32" t="str">
        <f>IF(ISBLANK(A225)," ",VLOOKUP(A225,'Product Database'!A:B,2,FALSE))</f>
        <v xml:space="preserve"> </v>
      </c>
      <c r="E225" s="31"/>
      <c r="F225" s="33"/>
    </row>
    <row r="226" spans="1:6" ht="12.3">
      <c r="A226" s="34"/>
      <c r="B226" s="30"/>
      <c r="C226" s="31"/>
      <c r="D226" s="32" t="str">
        <f>IF(ISBLANK(A226)," ",VLOOKUP(A226,'Product Database'!A:B,2,FALSE))</f>
        <v xml:space="preserve"> </v>
      </c>
      <c r="E226" s="31"/>
      <c r="F226" s="33"/>
    </row>
    <row r="227" spans="1:6" ht="12.3">
      <c r="A227" s="34"/>
      <c r="B227" s="30"/>
      <c r="C227" s="31"/>
      <c r="D227" s="32" t="str">
        <f>IF(ISBLANK(A227)," ",VLOOKUP(A227,'Product Database'!A:B,2,FALSE))</f>
        <v xml:space="preserve"> </v>
      </c>
      <c r="E227" s="31"/>
      <c r="F227" s="33"/>
    </row>
    <row r="228" spans="1:6" ht="12.3">
      <c r="A228" s="34"/>
      <c r="B228" s="30"/>
      <c r="C228" s="31"/>
      <c r="D228" s="32" t="str">
        <f>IF(ISBLANK(A228)," ",VLOOKUP(A228,'Product Database'!A:B,2,FALSE))</f>
        <v xml:space="preserve"> </v>
      </c>
      <c r="E228" s="31"/>
      <c r="F228" s="33"/>
    </row>
    <row r="229" spans="1:6" ht="12.3">
      <c r="A229" s="34"/>
      <c r="B229" s="30"/>
      <c r="C229" s="31"/>
      <c r="D229" s="32" t="str">
        <f>IF(ISBLANK(A229)," ",VLOOKUP(A229,'Product Database'!A:B,2,FALSE))</f>
        <v xml:space="preserve"> </v>
      </c>
      <c r="E229" s="31"/>
      <c r="F229" s="33"/>
    </row>
    <row r="230" spans="1:6" ht="12.3">
      <c r="A230" s="34"/>
      <c r="B230" s="30"/>
      <c r="C230" s="31"/>
      <c r="D230" s="32" t="str">
        <f>IF(ISBLANK(A230)," ",VLOOKUP(A230,'Product Database'!A:B,2,FALSE))</f>
        <v xml:space="preserve"> </v>
      </c>
      <c r="E230" s="31"/>
      <c r="F230" s="33"/>
    </row>
    <row r="231" spans="1:6" ht="12.3">
      <c r="A231" s="34"/>
      <c r="B231" s="30"/>
      <c r="C231" s="31"/>
      <c r="D231" s="32" t="str">
        <f>IF(ISBLANK(A231)," ",VLOOKUP(A231,'Product Database'!A:B,2,FALSE))</f>
        <v xml:space="preserve"> </v>
      </c>
      <c r="E231" s="31"/>
      <c r="F231" s="33"/>
    </row>
    <row r="232" spans="1:6" ht="12.3">
      <c r="A232" s="34"/>
      <c r="B232" s="30"/>
      <c r="C232" s="31"/>
      <c r="D232" s="32" t="str">
        <f>IF(ISBLANK(A232)," ",VLOOKUP(A232,'Product Database'!A:B,2,FALSE))</f>
        <v xml:space="preserve"> </v>
      </c>
      <c r="E232" s="31"/>
      <c r="F232" s="33"/>
    </row>
    <row r="233" spans="1:6" ht="12.3">
      <c r="A233" s="34"/>
      <c r="B233" s="30"/>
      <c r="C233" s="31"/>
      <c r="D233" s="32" t="str">
        <f>IF(ISBLANK(A233)," ",VLOOKUP(A233,'Product Database'!A:B,2,FALSE))</f>
        <v xml:space="preserve"> </v>
      </c>
      <c r="E233" s="31"/>
      <c r="F233" s="33"/>
    </row>
    <row r="234" spans="1:6" ht="12.3">
      <c r="A234" s="34"/>
      <c r="B234" s="30"/>
      <c r="C234" s="31"/>
      <c r="D234" s="32" t="str">
        <f>IF(ISBLANK(A234)," ",VLOOKUP(A234,'Product Database'!A:B,2,FALSE))</f>
        <v xml:space="preserve"> </v>
      </c>
      <c r="E234" s="31"/>
      <c r="F234" s="33"/>
    </row>
    <row r="235" spans="1:6" ht="12.3">
      <c r="A235" s="34"/>
      <c r="B235" s="30"/>
      <c r="C235" s="31"/>
      <c r="D235" s="32" t="str">
        <f>IF(ISBLANK(A235)," ",VLOOKUP(A235,'Product Database'!A:B,2,FALSE))</f>
        <v xml:space="preserve"> </v>
      </c>
      <c r="E235" s="31"/>
      <c r="F235" s="33"/>
    </row>
    <row r="236" spans="1:6" ht="12.3">
      <c r="A236" s="34"/>
      <c r="B236" s="30"/>
      <c r="C236" s="31"/>
      <c r="D236" s="32" t="str">
        <f>IF(ISBLANK(A236)," ",VLOOKUP(A236,'Product Database'!A:B,2,FALSE))</f>
        <v xml:space="preserve"> </v>
      </c>
      <c r="E236" s="31"/>
      <c r="F236" s="33"/>
    </row>
    <row r="237" spans="1:6" ht="12.3">
      <c r="A237" s="34"/>
      <c r="B237" s="30"/>
      <c r="C237" s="31"/>
      <c r="D237" s="32" t="str">
        <f>IF(ISBLANK(A237)," ",VLOOKUP(A237,'Product Database'!A:B,2,FALSE))</f>
        <v xml:space="preserve"> </v>
      </c>
      <c r="E237" s="31"/>
      <c r="F237" s="33"/>
    </row>
    <row r="238" spans="1:6" ht="12.3">
      <c r="A238" s="34"/>
      <c r="B238" s="30"/>
      <c r="C238" s="31"/>
      <c r="D238" s="32" t="str">
        <f>IF(ISBLANK(A238)," ",VLOOKUP(A238,'Product Database'!A:B,2,FALSE))</f>
        <v xml:space="preserve"> </v>
      </c>
      <c r="E238" s="31"/>
      <c r="F238" s="33"/>
    </row>
    <row r="239" spans="1:6" ht="12.3">
      <c r="A239" s="34"/>
      <c r="B239" s="30"/>
      <c r="C239" s="31"/>
      <c r="D239" s="32" t="str">
        <f>IF(ISBLANK(A239)," ",VLOOKUP(A239,'Product Database'!A:B,2,FALSE))</f>
        <v xml:space="preserve"> </v>
      </c>
      <c r="E239" s="31"/>
      <c r="F239" s="33"/>
    </row>
    <row r="240" spans="1:6" ht="12.3">
      <c r="A240" s="34"/>
      <c r="B240" s="30"/>
      <c r="C240" s="31"/>
      <c r="D240" s="32" t="str">
        <f>IF(ISBLANK(A240)," ",VLOOKUP(A240,'Product Database'!A:B,2,FALSE))</f>
        <v xml:space="preserve"> </v>
      </c>
      <c r="E240" s="31"/>
      <c r="F240" s="33"/>
    </row>
    <row r="241" spans="1:6" ht="12.3">
      <c r="A241" s="34"/>
      <c r="B241" s="30"/>
      <c r="C241" s="31"/>
      <c r="D241" s="32" t="str">
        <f>IF(ISBLANK(A241)," ",VLOOKUP(A241,'Product Database'!A:B,2,FALSE))</f>
        <v xml:space="preserve"> </v>
      </c>
      <c r="E241" s="31"/>
      <c r="F241" s="33"/>
    </row>
    <row r="242" spans="1:6" ht="12.3">
      <c r="A242" s="34"/>
      <c r="B242" s="30"/>
      <c r="C242" s="31"/>
      <c r="D242" s="32" t="str">
        <f>IF(ISBLANK(A242)," ",VLOOKUP(A242,'Product Database'!A:B,2,FALSE))</f>
        <v xml:space="preserve"> </v>
      </c>
      <c r="E242" s="31"/>
      <c r="F242" s="33"/>
    </row>
    <row r="243" spans="1:6" ht="12.3">
      <c r="A243" s="34"/>
      <c r="B243" s="30"/>
      <c r="C243" s="31"/>
      <c r="D243" s="32" t="str">
        <f>IF(ISBLANK(A243)," ",VLOOKUP(A243,'Product Database'!A:B,2,FALSE))</f>
        <v xml:space="preserve"> </v>
      </c>
      <c r="E243" s="31"/>
      <c r="F243" s="33"/>
    </row>
    <row r="244" spans="1:6" ht="12.3">
      <c r="A244" s="34"/>
      <c r="B244" s="30"/>
      <c r="C244" s="31"/>
      <c r="D244" s="32" t="str">
        <f>IF(ISBLANK(A244)," ",VLOOKUP(A244,'Product Database'!A:B,2,FALSE))</f>
        <v xml:space="preserve"> </v>
      </c>
      <c r="E244" s="31"/>
      <c r="F244" s="33"/>
    </row>
    <row r="245" spans="1:6" ht="12.3">
      <c r="A245" s="34"/>
      <c r="B245" s="30"/>
      <c r="C245" s="31"/>
      <c r="D245" s="32" t="str">
        <f>IF(ISBLANK(A245)," ",VLOOKUP(A245,'Product Database'!A:B,2,FALSE))</f>
        <v xml:space="preserve"> </v>
      </c>
      <c r="E245" s="31"/>
      <c r="F245" s="33"/>
    </row>
    <row r="246" spans="1:6" ht="12.3">
      <c r="A246" s="34"/>
      <c r="B246" s="30"/>
      <c r="C246" s="31"/>
      <c r="D246" s="32" t="str">
        <f>IF(ISBLANK(A246)," ",VLOOKUP(A246,'Product Database'!A:B,2,FALSE))</f>
        <v xml:space="preserve"> </v>
      </c>
      <c r="E246" s="31"/>
      <c r="F246" s="33"/>
    </row>
    <row r="247" spans="1:6" ht="12.3">
      <c r="A247" s="34"/>
      <c r="B247" s="30"/>
      <c r="C247" s="31"/>
      <c r="D247" s="32" t="str">
        <f>IF(ISBLANK(A247)," ",VLOOKUP(A247,'Product Database'!A:B,2,FALSE))</f>
        <v xml:space="preserve"> </v>
      </c>
      <c r="E247" s="31"/>
      <c r="F247" s="33"/>
    </row>
    <row r="248" spans="1:6" ht="12.3">
      <c r="A248" s="34"/>
      <c r="B248" s="30"/>
      <c r="C248" s="31"/>
      <c r="D248" s="32" t="str">
        <f>IF(ISBLANK(A248)," ",VLOOKUP(A248,'Product Database'!A:B,2,FALSE))</f>
        <v xml:space="preserve"> </v>
      </c>
      <c r="E248" s="31"/>
      <c r="F248" s="33"/>
    </row>
    <row r="249" spans="1:6" ht="12.3">
      <c r="A249" s="34"/>
      <c r="B249" s="30"/>
      <c r="C249" s="31"/>
      <c r="D249" s="32" t="str">
        <f>IF(ISBLANK(A249)," ",VLOOKUP(A249,'Product Database'!A:B,2,FALSE))</f>
        <v xml:space="preserve"> </v>
      </c>
      <c r="E249" s="31"/>
      <c r="F249" s="33"/>
    </row>
    <row r="250" spans="1:6" ht="12.3">
      <c r="A250" s="34"/>
      <c r="B250" s="30"/>
      <c r="C250" s="31"/>
      <c r="D250" s="32" t="str">
        <f>IF(ISBLANK(A250)," ",VLOOKUP(A250,'Product Database'!A:B,2,FALSE))</f>
        <v xml:space="preserve"> </v>
      </c>
      <c r="E250" s="31"/>
      <c r="F250" s="33"/>
    </row>
    <row r="251" spans="1:6" ht="12.3">
      <c r="A251" s="34"/>
      <c r="B251" s="30"/>
      <c r="C251" s="31"/>
      <c r="D251" s="32" t="str">
        <f>IF(ISBLANK(A251)," ",VLOOKUP(A251,'Product Database'!A:B,2,FALSE))</f>
        <v xml:space="preserve"> </v>
      </c>
      <c r="E251" s="31"/>
      <c r="F251" s="33"/>
    </row>
    <row r="252" spans="1:6" ht="12.3">
      <c r="A252" s="34"/>
      <c r="B252" s="30"/>
      <c r="C252" s="31"/>
      <c r="D252" s="32" t="str">
        <f>IF(ISBLANK(A252)," ",VLOOKUP(A252,'Product Database'!A:B,2,FALSE))</f>
        <v xml:space="preserve"> </v>
      </c>
      <c r="E252" s="31"/>
      <c r="F252" s="33"/>
    </row>
    <row r="253" spans="1:6" ht="12.3">
      <c r="A253" s="34"/>
      <c r="B253" s="30"/>
      <c r="C253" s="31"/>
      <c r="D253" s="32" t="str">
        <f>IF(ISBLANK(A253)," ",VLOOKUP(A253,'Product Database'!A:B,2,FALSE))</f>
        <v xml:space="preserve"> </v>
      </c>
      <c r="E253" s="31"/>
      <c r="F253" s="33"/>
    </row>
    <row r="254" spans="1:6" ht="12.3">
      <c r="A254" s="34"/>
      <c r="B254" s="30"/>
      <c r="C254" s="31"/>
      <c r="D254" s="32" t="str">
        <f>IF(ISBLANK(A254)," ",VLOOKUP(A254,'Product Database'!A:B,2,FALSE))</f>
        <v xml:space="preserve"> </v>
      </c>
      <c r="E254" s="31"/>
      <c r="F254" s="33"/>
    </row>
    <row r="255" spans="1:6" ht="12.3">
      <c r="A255" s="34"/>
      <c r="B255" s="30"/>
      <c r="C255" s="31"/>
      <c r="D255" s="32" t="str">
        <f>IF(ISBLANK(A255)," ",VLOOKUP(A255,'Product Database'!A:B,2,FALSE))</f>
        <v xml:space="preserve"> </v>
      </c>
      <c r="E255" s="31"/>
      <c r="F255" s="33"/>
    </row>
    <row r="256" spans="1:6" ht="12.3">
      <c r="A256" s="34"/>
      <c r="B256" s="30"/>
      <c r="C256" s="31"/>
      <c r="D256" s="32" t="str">
        <f>IF(ISBLANK(A256)," ",VLOOKUP(A256,'Product Database'!A:B,2,FALSE))</f>
        <v xml:space="preserve"> </v>
      </c>
      <c r="E256" s="31"/>
      <c r="F256" s="33"/>
    </row>
    <row r="257" spans="1:6" ht="12.3">
      <c r="A257" s="34"/>
      <c r="B257" s="30"/>
      <c r="C257" s="31"/>
      <c r="D257" s="32" t="str">
        <f>IF(ISBLANK(A257)," ",VLOOKUP(A257,'Product Database'!A:B,2,FALSE))</f>
        <v xml:space="preserve"> </v>
      </c>
      <c r="E257" s="31"/>
      <c r="F257" s="33"/>
    </row>
    <row r="258" spans="1:6" ht="12.3">
      <c r="A258" s="34"/>
      <c r="B258" s="30"/>
      <c r="C258" s="31"/>
      <c r="D258" s="32" t="str">
        <f>IF(ISBLANK(A258)," ",VLOOKUP(A258,'Product Database'!A:B,2,FALSE))</f>
        <v xml:space="preserve"> </v>
      </c>
      <c r="E258" s="31"/>
      <c r="F258" s="33"/>
    </row>
    <row r="259" spans="1:6" ht="12.3">
      <c r="A259" s="34"/>
      <c r="B259" s="30"/>
      <c r="C259" s="31"/>
      <c r="D259" s="32" t="str">
        <f>IF(ISBLANK(A259)," ",VLOOKUP(A259,'Product Database'!A:B,2,FALSE))</f>
        <v xml:space="preserve"> </v>
      </c>
      <c r="E259" s="31"/>
      <c r="F259" s="33"/>
    </row>
    <row r="260" spans="1:6" ht="12.3">
      <c r="A260" s="34"/>
      <c r="B260" s="30"/>
      <c r="C260" s="31"/>
      <c r="D260" s="32" t="str">
        <f>IF(ISBLANK(A260)," ",VLOOKUP(A260,'Product Database'!A:B,2,FALSE))</f>
        <v xml:space="preserve"> </v>
      </c>
      <c r="E260" s="31"/>
      <c r="F260" s="33"/>
    </row>
    <row r="261" spans="1:6" ht="12.3">
      <c r="A261" s="34"/>
      <c r="B261" s="30"/>
      <c r="C261" s="31"/>
      <c r="D261" s="32" t="str">
        <f>IF(ISBLANK(A261)," ",VLOOKUP(A261,'Product Database'!A:B,2,FALSE))</f>
        <v xml:space="preserve"> </v>
      </c>
      <c r="E261" s="31"/>
      <c r="F261" s="33"/>
    </row>
    <row r="262" spans="1:6" ht="12.3">
      <c r="A262" s="34"/>
      <c r="B262" s="30"/>
      <c r="C262" s="31"/>
      <c r="D262" s="32" t="str">
        <f>IF(ISBLANK(A262)," ",VLOOKUP(A262,'Product Database'!A:B,2,FALSE))</f>
        <v xml:space="preserve"> </v>
      </c>
      <c r="E262" s="31"/>
      <c r="F262" s="33"/>
    </row>
    <row r="263" spans="1:6" ht="12.3">
      <c r="A263" s="34"/>
      <c r="B263" s="30"/>
      <c r="C263" s="31"/>
      <c r="D263" s="32" t="str">
        <f>IF(ISBLANK(A263)," ",VLOOKUP(A263,'Product Database'!A:B,2,FALSE))</f>
        <v xml:space="preserve"> </v>
      </c>
      <c r="E263" s="31"/>
      <c r="F263" s="33"/>
    </row>
    <row r="264" spans="1:6" ht="12.3">
      <c r="A264" s="34"/>
      <c r="B264" s="30"/>
      <c r="C264" s="31"/>
      <c r="D264" s="32" t="str">
        <f>IF(ISBLANK(A264)," ",VLOOKUP(A264,'Product Database'!A:B,2,FALSE))</f>
        <v xml:space="preserve"> </v>
      </c>
      <c r="E264" s="31"/>
      <c r="F264" s="33"/>
    </row>
    <row r="265" spans="1:6" ht="12.3">
      <c r="A265" s="34"/>
      <c r="B265" s="30"/>
      <c r="C265" s="31"/>
      <c r="D265" s="32" t="str">
        <f>IF(ISBLANK(A265)," ",VLOOKUP(A265,'Product Database'!A:B,2,FALSE))</f>
        <v xml:space="preserve"> </v>
      </c>
      <c r="E265" s="31"/>
      <c r="F265" s="33"/>
    </row>
    <row r="266" spans="1:6" ht="12.3">
      <c r="A266" s="34"/>
      <c r="B266" s="30"/>
      <c r="C266" s="31"/>
      <c r="D266" s="32" t="str">
        <f>IF(ISBLANK(A266)," ",VLOOKUP(A266,'Product Database'!A:B,2,FALSE))</f>
        <v xml:space="preserve"> </v>
      </c>
      <c r="E266" s="31"/>
      <c r="F266" s="33"/>
    </row>
    <row r="267" spans="1:6" ht="12.3">
      <c r="A267" s="34"/>
      <c r="B267" s="30"/>
      <c r="C267" s="31"/>
      <c r="D267" s="32" t="str">
        <f>IF(ISBLANK(A267)," ",VLOOKUP(A267,'Product Database'!A:B,2,FALSE))</f>
        <v xml:space="preserve"> </v>
      </c>
      <c r="E267" s="31"/>
      <c r="F267" s="33"/>
    </row>
    <row r="268" spans="1:6" ht="12.3">
      <c r="A268" s="34"/>
      <c r="B268" s="30"/>
      <c r="C268" s="31"/>
      <c r="D268" s="32" t="str">
        <f>IF(ISBLANK(A268)," ",VLOOKUP(A268,'Product Database'!A:B,2,FALSE))</f>
        <v xml:space="preserve"> </v>
      </c>
      <c r="E268" s="31"/>
      <c r="F268" s="33"/>
    </row>
    <row r="269" spans="1:6" ht="12.3">
      <c r="A269" s="34"/>
      <c r="B269" s="30"/>
      <c r="C269" s="31"/>
      <c r="D269" s="32" t="str">
        <f>IF(ISBLANK(A269)," ",VLOOKUP(A269,'Product Database'!A:B,2,FALSE))</f>
        <v xml:space="preserve"> </v>
      </c>
      <c r="E269" s="31"/>
      <c r="F269" s="33"/>
    </row>
    <row r="270" spans="1:6" ht="12.3">
      <c r="A270" s="34"/>
      <c r="B270" s="30"/>
      <c r="C270" s="31"/>
      <c r="D270" s="32" t="str">
        <f>IF(ISBLANK(A270)," ",VLOOKUP(A270,'Product Database'!A:B,2,FALSE))</f>
        <v xml:space="preserve"> </v>
      </c>
      <c r="E270" s="31"/>
      <c r="F270" s="33"/>
    </row>
    <row r="271" spans="1:6" ht="12.3">
      <c r="A271" s="34"/>
      <c r="B271" s="30"/>
      <c r="C271" s="31"/>
      <c r="D271" s="32" t="str">
        <f>IF(ISBLANK(A271)," ",VLOOKUP(A271,'Product Database'!A:B,2,FALSE))</f>
        <v xml:space="preserve"> </v>
      </c>
      <c r="E271" s="31"/>
      <c r="F271" s="33"/>
    </row>
    <row r="272" spans="1:6" ht="12.3">
      <c r="A272" s="34"/>
      <c r="B272" s="30"/>
      <c r="C272" s="31"/>
      <c r="D272" s="32" t="str">
        <f>IF(ISBLANK(A272)," ",VLOOKUP(A272,'Product Database'!A:B,2,FALSE))</f>
        <v xml:space="preserve"> </v>
      </c>
      <c r="E272" s="31"/>
      <c r="F272" s="33"/>
    </row>
    <row r="273" spans="1:6" ht="12.3">
      <c r="A273" s="34"/>
      <c r="B273" s="30"/>
      <c r="C273" s="31"/>
      <c r="D273" s="32" t="str">
        <f>IF(ISBLANK(A273)," ",VLOOKUP(A273,'Product Database'!A:B,2,FALSE))</f>
        <v xml:space="preserve"> </v>
      </c>
      <c r="E273" s="31"/>
      <c r="F273" s="33"/>
    </row>
    <row r="274" spans="1:6" ht="12.3">
      <c r="A274" s="34"/>
      <c r="B274" s="30"/>
      <c r="C274" s="31"/>
      <c r="D274" s="32" t="str">
        <f>IF(ISBLANK(A274)," ",VLOOKUP(A274,'Product Database'!A:B,2,FALSE))</f>
        <v xml:space="preserve"> </v>
      </c>
      <c r="E274" s="31"/>
      <c r="F274" s="33"/>
    </row>
    <row r="275" spans="1:6" ht="12.3">
      <c r="A275" s="34"/>
      <c r="B275" s="30"/>
      <c r="C275" s="31"/>
      <c r="D275" s="32" t="str">
        <f>IF(ISBLANK(A275)," ",VLOOKUP(A275,'Product Database'!A:B,2,FALSE))</f>
        <v xml:space="preserve"> </v>
      </c>
      <c r="E275" s="31"/>
      <c r="F275" s="33"/>
    </row>
    <row r="276" spans="1:6" ht="12.3">
      <c r="A276" s="34"/>
      <c r="B276" s="30"/>
      <c r="C276" s="31"/>
      <c r="D276" s="32" t="str">
        <f>IF(ISBLANK(A276)," ",VLOOKUP(A276,'Product Database'!A:B,2,FALSE))</f>
        <v xml:space="preserve"> </v>
      </c>
      <c r="E276" s="31"/>
      <c r="F276" s="33"/>
    </row>
    <row r="277" spans="1:6" ht="12.3">
      <c r="A277" s="34"/>
      <c r="B277" s="30"/>
      <c r="C277" s="31"/>
      <c r="D277" s="32" t="str">
        <f>IF(ISBLANK(A277)," ",VLOOKUP(A277,'Product Database'!A:B,2,FALSE))</f>
        <v xml:space="preserve"> </v>
      </c>
      <c r="E277" s="31"/>
      <c r="F277" s="33"/>
    </row>
    <row r="278" spans="1:6" ht="12.3">
      <c r="A278" s="34"/>
      <c r="B278" s="30"/>
      <c r="C278" s="31"/>
      <c r="D278" s="32" t="str">
        <f>IF(ISBLANK(A278)," ",VLOOKUP(A278,'Product Database'!A:B,2,FALSE))</f>
        <v xml:space="preserve"> </v>
      </c>
      <c r="E278" s="31"/>
      <c r="F278" s="33"/>
    </row>
    <row r="279" spans="1:6" ht="12.3">
      <c r="A279" s="34"/>
      <c r="B279" s="30"/>
      <c r="C279" s="31"/>
      <c r="D279" s="32" t="str">
        <f>IF(ISBLANK(A279)," ",VLOOKUP(A279,'Product Database'!A:B,2,FALSE))</f>
        <v xml:space="preserve"> </v>
      </c>
      <c r="E279" s="31"/>
      <c r="F279" s="33"/>
    </row>
    <row r="280" spans="1:6" ht="12.3">
      <c r="A280" s="34"/>
      <c r="B280" s="30"/>
      <c r="C280" s="31"/>
      <c r="D280" s="32" t="str">
        <f>IF(ISBLANK(A280)," ",VLOOKUP(A280,'Product Database'!A:B,2,FALSE))</f>
        <v xml:space="preserve"> </v>
      </c>
      <c r="E280" s="31"/>
      <c r="F280" s="33"/>
    </row>
    <row r="281" spans="1:6" ht="12.3">
      <c r="A281" s="34"/>
      <c r="B281" s="30"/>
      <c r="C281" s="31"/>
      <c r="D281" s="32" t="str">
        <f>IF(ISBLANK(A281)," ",VLOOKUP(A281,'Product Database'!A:B,2,FALSE))</f>
        <v xml:space="preserve"> </v>
      </c>
      <c r="E281" s="31"/>
      <c r="F281" s="33"/>
    </row>
    <row r="282" spans="1:6" ht="12.3">
      <c r="A282" s="34"/>
      <c r="B282" s="30"/>
      <c r="C282" s="31"/>
      <c r="D282" s="32" t="str">
        <f>IF(ISBLANK(A282)," ",VLOOKUP(A282,'Product Database'!A:B,2,FALSE))</f>
        <v xml:space="preserve"> </v>
      </c>
      <c r="E282" s="31"/>
      <c r="F282" s="33"/>
    </row>
    <row r="283" spans="1:6" ht="12.3">
      <c r="A283" s="34"/>
      <c r="B283" s="30"/>
      <c r="C283" s="31"/>
      <c r="D283" s="32" t="str">
        <f>IF(ISBLANK(A283)," ",VLOOKUP(A283,'Product Database'!A:B,2,FALSE))</f>
        <v xml:space="preserve"> </v>
      </c>
      <c r="E283" s="31"/>
      <c r="F283" s="33"/>
    </row>
    <row r="284" spans="1:6" ht="12.3">
      <c r="A284" s="34"/>
      <c r="B284" s="30"/>
      <c r="C284" s="31"/>
      <c r="D284" s="32" t="str">
        <f>IF(ISBLANK(A284)," ",VLOOKUP(A284,'Product Database'!A:B,2,FALSE))</f>
        <v xml:space="preserve"> </v>
      </c>
      <c r="E284" s="31"/>
      <c r="F284" s="33"/>
    </row>
    <row r="285" spans="1:6" ht="12.3">
      <c r="A285" s="34"/>
      <c r="B285" s="30"/>
      <c r="C285" s="31"/>
      <c r="D285" s="32" t="str">
        <f>IF(ISBLANK(A285)," ",VLOOKUP(A285,'Product Database'!A:B,2,FALSE))</f>
        <v xml:space="preserve"> </v>
      </c>
      <c r="E285" s="31"/>
      <c r="F285" s="33"/>
    </row>
    <row r="286" spans="1:6" ht="12.3">
      <c r="A286" s="34"/>
      <c r="B286" s="30"/>
      <c r="C286" s="31"/>
      <c r="D286" s="32" t="str">
        <f>IF(ISBLANK(A286)," ",VLOOKUP(A286,'Product Database'!A:B,2,FALSE))</f>
        <v xml:space="preserve"> </v>
      </c>
      <c r="E286" s="31"/>
      <c r="F286" s="33"/>
    </row>
    <row r="287" spans="1:6" ht="12.3">
      <c r="A287" s="34"/>
      <c r="B287" s="30"/>
      <c r="C287" s="31"/>
      <c r="D287" s="32" t="str">
        <f>IF(ISBLANK(A287)," ",VLOOKUP(A287,'Product Database'!A:B,2,FALSE))</f>
        <v xml:space="preserve"> </v>
      </c>
      <c r="E287" s="31"/>
      <c r="F287" s="33"/>
    </row>
    <row r="288" spans="1:6" ht="12.3">
      <c r="A288" s="34"/>
      <c r="B288" s="30"/>
      <c r="C288" s="31"/>
      <c r="D288" s="32" t="str">
        <f>IF(ISBLANK(A288)," ",VLOOKUP(A288,'Product Database'!A:B,2,FALSE))</f>
        <v xml:space="preserve"> </v>
      </c>
      <c r="E288" s="31"/>
      <c r="F288" s="33"/>
    </row>
    <row r="289" spans="1:6" ht="12.3">
      <c r="A289" s="34"/>
      <c r="B289" s="30"/>
      <c r="C289" s="31"/>
      <c r="D289" s="32" t="str">
        <f>IF(ISBLANK(A289)," ",VLOOKUP(A289,'Product Database'!A:B,2,FALSE))</f>
        <v xml:space="preserve"> </v>
      </c>
      <c r="E289" s="31"/>
      <c r="F289" s="33"/>
    </row>
    <row r="290" spans="1:6" ht="12.3">
      <c r="A290" s="34"/>
      <c r="B290" s="30"/>
      <c r="C290" s="31"/>
      <c r="D290" s="32" t="str">
        <f>IF(ISBLANK(A290)," ",VLOOKUP(A290,'Product Database'!A:B,2,FALSE))</f>
        <v xml:space="preserve"> </v>
      </c>
      <c r="E290" s="31"/>
      <c r="F290" s="33"/>
    </row>
    <row r="291" spans="1:6" ht="12.3">
      <c r="A291" s="34"/>
      <c r="B291" s="30"/>
      <c r="C291" s="31"/>
      <c r="D291" s="32" t="str">
        <f>IF(ISBLANK(A291)," ",VLOOKUP(A291,'Product Database'!A:B,2,FALSE))</f>
        <v xml:space="preserve"> </v>
      </c>
      <c r="E291" s="31"/>
      <c r="F291" s="33"/>
    </row>
    <row r="292" spans="1:6" ht="12.3">
      <c r="A292" s="34"/>
      <c r="B292" s="30"/>
      <c r="C292" s="31"/>
      <c r="D292" s="32" t="str">
        <f>IF(ISBLANK(A292)," ",VLOOKUP(A292,'Product Database'!A:B,2,FALSE))</f>
        <v xml:space="preserve"> </v>
      </c>
      <c r="E292" s="31"/>
      <c r="F292" s="33"/>
    </row>
    <row r="293" spans="1:6" ht="12.3">
      <c r="A293" s="34"/>
      <c r="B293" s="30"/>
      <c r="C293" s="31"/>
      <c r="D293" s="32" t="str">
        <f>IF(ISBLANK(A293)," ",VLOOKUP(A293,'Product Database'!A:B,2,FALSE))</f>
        <v xml:space="preserve"> </v>
      </c>
      <c r="E293" s="31"/>
      <c r="F293" s="33"/>
    </row>
    <row r="294" spans="1:6" ht="12.3">
      <c r="A294" s="34"/>
      <c r="B294" s="30"/>
      <c r="C294" s="31"/>
      <c r="D294" s="32" t="str">
        <f>IF(ISBLANK(A294)," ",VLOOKUP(A294,'Product Database'!A:B,2,FALSE))</f>
        <v xml:space="preserve"> </v>
      </c>
      <c r="E294" s="31"/>
      <c r="F294" s="33"/>
    </row>
    <row r="295" spans="1:6" ht="12.3">
      <c r="A295" s="34"/>
      <c r="B295" s="30"/>
      <c r="C295" s="31"/>
      <c r="D295" s="32" t="str">
        <f>IF(ISBLANK(A295)," ",VLOOKUP(A295,'Product Database'!A:B,2,FALSE))</f>
        <v xml:space="preserve"> </v>
      </c>
      <c r="E295" s="31"/>
      <c r="F295" s="33"/>
    </row>
    <row r="296" spans="1:6" ht="12.3">
      <c r="A296" s="34"/>
      <c r="B296" s="30"/>
      <c r="C296" s="31"/>
      <c r="D296" s="32" t="str">
        <f>IF(ISBLANK(A296)," ",VLOOKUP(A296,'Product Database'!A:B,2,FALSE))</f>
        <v xml:space="preserve"> </v>
      </c>
      <c r="E296" s="31"/>
      <c r="F296" s="33"/>
    </row>
    <row r="297" spans="1:6" ht="12.3">
      <c r="A297" s="34"/>
      <c r="B297" s="30"/>
      <c r="C297" s="31"/>
      <c r="D297" s="32" t="str">
        <f>IF(ISBLANK(A297)," ",VLOOKUP(A297,'Product Database'!A:B,2,FALSE))</f>
        <v xml:space="preserve"> </v>
      </c>
      <c r="E297" s="31"/>
      <c r="F297" s="33"/>
    </row>
    <row r="298" spans="1:6" ht="12.3">
      <c r="A298" s="34"/>
      <c r="B298" s="30"/>
      <c r="C298" s="31"/>
      <c r="D298" s="32" t="str">
        <f>IF(ISBLANK(A298)," ",VLOOKUP(A298,'Product Database'!A:B,2,FALSE))</f>
        <v xml:space="preserve"> </v>
      </c>
      <c r="E298" s="31"/>
      <c r="F298" s="33"/>
    </row>
    <row r="299" spans="1:6" ht="12.3">
      <c r="A299" s="34"/>
      <c r="B299" s="30"/>
      <c r="C299" s="31"/>
      <c r="D299" s="32" t="str">
        <f>IF(ISBLANK(A299)," ",VLOOKUP(A299,'Product Database'!A:B,2,FALSE))</f>
        <v xml:space="preserve"> </v>
      </c>
      <c r="E299" s="31"/>
      <c r="F299" s="33"/>
    </row>
    <row r="300" spans="1:6" ht="12.3">
      <c r="A300" s="34"/>
      <c r="B300" s="30"/>
      <c r="C300" s="31"/>
      <c r="D300" s="32" t="str">
        <f>IF(ISBLANK(A300)," ",VLOOKUP(A300,'Product Database'!A:B,2,FALSE))</f>
        <v xml:space="preserve"> </v>
      </c>
      <c r="E300" s="31"/>
      <c r="F300" s="33"/>
    </row>
    <row r="301" spans="1:6" ht="12.3">
      <c r="A301" s="34"/>
      <c r="B301" s="30"/>
      <c r="C301" s="31"/>
      <c r="D301" s="32" t="str">
        <f>IF(ISBLANK(A301)," ",VLOOKUP(A301,'Product Database'!A:B,2,FALSE))</f>
        <v xml:space="preserve"> </v>
      </c>
      <c r="E301" s="31"/>
      <c r="F301" s="33"/>
    </row>
    <row r="302" spans="1:6" ht="12.3">
      <c r="A302" s="34"/>
      <c r="B302" s="30"/>
      <c r="C302" s="31"/>
      <c r="D302" s="32" t="str">
        <f>IF(ISBLANK(A302)," ",VLOOKUP(A302,'Product Database'!A:B,2,FALSE))</f>
        <v xml:space="preserve"> </v>
      </c>
      <c r="E302" s="31"/>
      <c r="F302" s="33"/>
    </row>
    <row r="303" spans="1:6" ht="12.3">
      <c r="A303" s="34"/>
      <c r="B303" s="30"/>
      <c r="C303" s="31"/>
      <c r="D303" s="32" t="str">
        <f>IF(ISBLANK(A303)," ",VLOOKUP(A303,'Product Database'!A:B,2,FALSE))</f>
        <v xml:space="preserve"> </v>
      </c>
      <c r="E303" s="31"/>
      <c r="F303" s="33"/>
    </row>
    <row r="304" spans="1:6" ht="12.3">
      <c r="A304" s="34"/>
      <c r="B304" s="30"/>
      <c r="C304" s="31"/>
      <c r="D304" s="32" t="str">
        <f>IF(ISBLANK(A304)," ",VLOOKUP(A304,'Product Database'!A:B,2,FALSE))</f>
        <v xml:space="preserve"> </v>
      </c>
      <c r="E304" s="31"/>
      <c r="F304" s="33"/>
    </row>
    <row r="305" spans="1:6" ht="12.3">
      <c r="A305" s="34"/>
      <c r="B305" s="30"/>
      <c r="C305" s="31"/>
      <c r="D305" s="32" t="str">
        <f>IF(ISBLANK(A305)," ",VLOOKUP(A305,'Product Database'!A:B,2,FALSE))</f>
        <v xml:space="preserve"> </v>
      </c>
      <c r="E305" s="31"/>
      <c r="F305" s="33"/>
    </row>
    <row r="306" spans="1:6" ht="12.3">
      <c r="A306" s="34"/>
      <c r="B306" s="30"/>
      <c r="C306" s="31"/>
      <c r="D306" s="32" t="str">
        <f>IF(ISBLANK(A306)," ",VLOOKUP(A306,'Product Database'!A:B,2,FALSE))</f>
        <v xml:space="preserve"> </v>
      </c>
      <c r="E306" s="31"/>
      <c r="F306" s="33"/>
    </row>
    <row r="307" spans="1:6" ht="12.3">
      <c r="A307" s="34"/>
      <c r="B307" s="30"/>
      <c r="C307" s="31"/>
      <c r="D307" s="32" t="str">
        <f>IF(ISBLANK(A307)," ",VLOOKUP(A307,'Product Database'!A:B,2,FALSE))</f>
        <v xml:space="preserve"> </v>
      </c>
      <c r="E307" s="31"/>
      <c r="F307" s="33"/>
    </row>
    <row r="308" spans="1:6" ht="12.3">
      <c r="A308" s="34"/>
      <c r="B308" s="30"/>
      <c r="C308" s="31"/>
      <c r="D308" s="32" t="str">
        <f>IF(ISBLANK(A308)," ",VLOOKUP(A308,'Product Database'!A:B,2,FALSE))</f>
        <v xml:space="preserve"> </v>
      </c>
      <c r="E308" s="31"/>
      <c r="F308" s="33"/>
    </row>
    <row r="309" spans="1:6" ht="12.3">
      <c r="A309" s="34"/>
      <c r="B309" s="30"/>
      <c r="C309" s="31"/>
      <c r="D309" s="32" t="str">
        <f>IF(ISBLANK(A309)," ",VLOOKUP(A309,'Product Database'!A:B,2,FALSE))</f>
        <v xml:space="preserve"> </v>
      </c>
      <c r="E309" s="31"/>
      <c r="F309" s="33"/>
    </row>
    <row r="310" spans="1:6" ht="12.3">
      <c r="A310" s="34"/>
      <c r="B310" s="30"/>
      <c r="C310" s="31"/>
      <c r="D310" s="32" t="str">
        <f>IF(ISBLANK(A310)," ",VLOOKUP(A310,'Product Database'!A:B,2,FALSE))</f>
        <v xml:space="preserve"> </v>
      </c>
      <c r="E310" s="31"/>
      <c r="F310" s="33"/>
    </row>
    <row r="311" spans="1:6" ht="12.3">
      <c r="A311" s="34"/>
      <c r="B311" s="30"/>
      <c r="C311" s="31"/>
      <c r="D311" s="32" t="str">
        <f>IF(ISBLANK(A311)," ",VLOOKUP(A311,'Product Database'!A:B,2,FALSE))</f>
        <v xml:space="preserve"> </v>
      </c>
      <c r="E311" s="31"/>
      <c r="F311" s="33"/>
    </row>
    <row r="312" spans="1:6" ht="12.3">
      <c r="A312" s="34"/>
      <c r="B312" s="30"/>
      <c r="C312" s="31"/>
      <c r="D312" s="32" t="str">
        <f>IF(ISBLANK(A312)," ",VLOOKUP(A312,'Product Database'!A:B,2,FALSE))</f>
        <v xml:space="preserve"> </v>
      </c>
      <c r="E312" s="31"/>
      <c r="F312" s="33"/>
    </row>
    <row r="313" spans="1:6" ht="12.3">
      <c r="A313" s="34"/>
      <c r="B313" s="30"/>
      <c r="C313" s="31"/>
      <c r="D313" s="32" t="str">
        <f>IF(ISBLANK(A313)," ",VLOOKUP(A313,'Product Database'!A:B,2,FALSE))</f>
        <v xml:space="preserve"> </v>
      </c>
      <c r="E313" s="31"/>
      <c r="F313" s="33"/>
    </row>
    <row r="314" spans="1:6" ht="12.3">
      <c r="A314" s="34"/>
      <c r="B314" s="30"/>
      <c r="C314" s="31"/>
      <c r="D314" s="32" t="str">
        <f>IF(ISBLANK(A314)," ",VLOOKUP(A314,'Product Database'!A:B,2,FALSE))</f>
        <v xml:space="preserve"> </v>
      </c>
      <c r="E314" s="31"/>
      <c r="F314" s="33"/>
    </row>
    <row r="315" spans="1:6" ht="12.3">
      <c r="A315" s="34"/>
      <c r="B315" s="30"/>
      <c r="C315" s="31"/>
      <c r="D315" s="32" t="str">
        <f>IF(ISBLANK(A315)," ",VLOOKUP(A315,'Product Database'!A:B,2,FALSE))</f>
        <v xml:space="preserve"> </v>
      </c>
      <c r="E315" s="31"/>
      <c r="F315" s="33"/>
    </row>
    <row r="316" spans="1:6" ht="12.3">
      <c r="A316" s="34"/>
      <c r="B316" s="30"/>
      <c r="C316" s="31"/>
      <c r="D316" s="32" t="str">
        <f>IF(ISBLANK(A316)," ",VLOOKUP(A316,'Product Database'!A:B,2,FALSE))</f>
        <v xml:space="preserve"> </v>
      </c>
      <c r="E316" s="31"/>
      <c r="F316" s="33"/>
    </row>
    <row r="317" spans="1:6" ht="12.3">
      <c r="A317" s="34"/>
      <c r="B317" s="30"/>
      <c r="C317" s="31"/>
      <c r="D317" s="32" t="str">
        <f>IF(ISBLANK(A317)," ",VLOOKUP(A317,'Product Database'!A:B,2,FALSE))</f>
        <v xml:space="preserve"> </v>
      </c>
      <c r="E317" s="31"/>
      <c r="F317" s="33"/>
    </row>
    <row r="318" spans="1:6" ht="12.3">
      <c r="A318" s="34"/>
      <c r="B318" s="30"/>
      <c r="C318" s="31"/>
      <c r="D318" s="32" t="str">
        <f>IF(ISBLANK(A318)," ",VLOOKUP(A318,'Product Database'!A:B,2,FALSE))</f>
        <v xml:space="preserve"> </v>
      </c>
      <c r="E318" s="31"/>
      <c r="F318" s="33"/>
    </row>
    <row r="319" spans="1:6" ht="12.3">
      <c r="A319" s="34"/>
      <c r="B319" s="30"/>
      <c r="C319" s="31"/>
      <c r="D319" s="32" t="str">
        <f>IF(ISBLANK(A319)," ",VLOOKUP(A319,'Product Database'!A:B,2,FALSE))</f>
        <v xml:space="preserve"> </v>
      </c>
      <c r="E319" s="31"/>
      <c r="F319" s="33"/>
    </row>
    <row r="320" spans="1:6" ht="12.3">
      <c r="A320" s="34"/>
      <c r="B320" s="30"/>
      <c r="C320" s="31"/>
      <c r="D320" s="32" t="str">
        <f>IF(ISBLANK(A320)," ",VLOOKUP(A320,'Product Database'!A:B,2,FALSE))</f>
        <v xml:space="preserve"> </v>
      </c>
      <c r="E320" s="31"/>
      <c r="F320" s="33"/>
    </row>
    <row r="321" spans="1:6" ht="12.3">
      <c r="A321" s="34"/>
      <c r="B321" s="30"/>
      <c r="C321" s="31"/>
      <c r="D321" s="32" t="str">
        <f>IF(ISBLANK(A321)," ",VLOOKUP(A321,'Product Database'!A:B,2,FALSE))</f>
        <v xml:space="preserve"> </v>
      </c>
      <c r="E321" s="31"/>
      <c r="F321" s="33"/>
    </row>
    <row r="322" spans="1:6" ht="12.3">
      <c r="A322" s="34"/>
      <c r="B322" s="30"/>
      <c r="C322" s="31"/>
      <c r="D322" s="32" t="str">
        <f>IF(ISBLANK(A322)," ",VLOOKUP(A322,'Product Database'!A:B,2,FALSE))</f>
        <v xml:space="preserve"> </v>
      </c>
      <c r="E322" s="31"/>
      <c r="F322" s="33"/>
    </row>
    <row r="323" spans="1:6" ht="12.3">
      <c r="A323" s="34"/>
      <c r="B323" s="30"/>
      <c r="C323" s="31"/>
      <c r="D323" s="32" t="str">
        <f>IF(ISBLANK(A323)," ",VLOOKUP(A323,'Product Database'!A:B,2,FALSE))</f>
        <v xml:space="preserve"> </v>
      </c>
      <c r="E323" s="31"/>
      <c r="F323" s="33"/>
    </row>
    <row r="324" spans="1:6" ht="12.3">
      <c r="A324" s="34"/>
      <c r="B324" s="30"/>
      <c r="C324" s="31"/>
      <c r="D324" s="32" t="str">
        <f>IF(ISBLANK(A324)," ",VLOOKUP(A324,'Product Database'!A:B,2,FALSE))</f>
        <v xml:space="preserve"> </v>
      </c>
      <c r="E324" s="31"/>
      <c r="F324" s="33"/>
    </row>
    <row r="325" spans="1:6" ht="12.3">
      <c r="A325" s="34"/>
      <c r="B325" s="30"/>
      <c r="C325" s="31"/>
      <c r="D325" s="32" t="str">
        <f>IF(ISBLANK(A325)," ",VLOOKUP(A325,'Product Database'!A:B,2,FALSE))</f>
        <v xml:space="preserve"> </v>
      </c>
      <c r="E325" s="31"/>
      <c r="F325" s="33"/>
    </row>
    <row r="326" spans="1:6" ht="12.3">
      <c r="A326" s="34"/>
      <c r="B326" s="30"/>
      <c r="C326" s="31"/>
      <c r="D326" s="32" t="str">
        <f>IF(ISBLANK(A326)," ",VLOOKUP(A326,'Product Database'!A:B,2,FALSE))</f>
        <v xml:space="preserve"> </v>
      </c>
      <c r="E326" s="31"/>
      <c r="F326" s="33"/>
    </row>
    <row r="327" spans="1:6" ht="12.3">
      <c r="A327" s="34"/>
      <c r="B327" s="30"/>
      <c r="C327" s="31"/>
      <c r="D327" s="32" t="str">
        <f>IF(ISBLANK(A327)," ",VLOOKUP(A327,'Product Database'!A:B,2,FALSE))</f>
        <v xml:space="preserve"> </v>
      </c>
      <c r="E327" s="31"/>
      <c r="F327" s="33"/>
    </row>
    <row r="328" spans="1:6" ht="12.3">
      <c r="A328" s="34"/>
      <c r="B328" s="30"/>
      <c r="C328" s="31"/>
      <c r="D328" s="32" t="str">
        <f>IF(ISBLANK(A328)," ",VLOOKUP(A328,'Product Database'!A:B,2,FALSE))</f>
        <v xml:space="preserve"> </v>
      </c>
      <c r="E328" s="31"/>
      <c r="F328" s="33"/>
    </row>
    <row r="329" spans="1:6" ht="12.3">
      <c r="A329" s="34"/>
      <c r="B329" s="30"/>
      <c r="C329" s="31"/>
      <c r="D329" s="32" t="str">
        <f>IF(ISBLANK(A329)," ",VLOOKUP(A329,'Product Database'!A:B,2,FALSE))</f>
        <v xml:space="preserve"> </v>
      </c>
      <c r="E329" s="31"/>
      <c r="F329" s="33"/>
    </row>
    <row r="330" spans="1:6" ht="12.3">
      <c r="A330" s="34"/>
      <c r="B330" s="30"/>
      <c r="C330" s="31"/>
      <c r="D330" s="32" t="str">
        <f>IF(ISBLANK(A330)," ",VLOOKUP(A330,'Product Database'!A:B,2,FALSE))</f>
        <v xml:space="preserve"> </v>
      </c>
      <c r="E330" s="31"/>
      <c r="F330" s="33"/>
    </row>
    <row r="331" spans="1:6" ht="12.3">
      <c r="A331" s="34"/>
      <c r="B331" s="30"/>
      <c r="C331" s="31"/>
      <c r="D331" s="32" t="str">
        <f>IF(ISBLANK(A331)," ",VLOOKUP(A331,'Product Database'!A:B,2,FALSE))</f>
        <v xml:space="preserve"> </v>
      </c>
      <c r="E331" s="31"/>
      <c r="F331" s="33"/>
    </row>
    <row r="332" spans="1:6" ht="12.3">
      <c r="A332" s="34"/>
      <c r="B332" s="30"/>
      <c r="C332" s="31"/>
      <c r="D332" s="32" t="str">
        <f>IF(ISBLANK(A332)," ",VLOOKUP(A332,'Product Database'!A:B,2,FALSE))</f>
        <v xml:space="preserve"> </v>
      </c>
      <c r="E332" s="31"/>
      <c r="F332" s="33"/>
    </row>
    <row r="333" spans="1:6" ht="12.3">
      <c r="A333" s="34"/>
      <c r="B333" s="30"/>
      <c r="C333" s="31"/>
      <c r="D333" s="32" t="str">
        <f>IF(ISBLANK(A333)," ",VLOOKUP(A333,'Product Database'!A:B,2,FALSE))</f>
        <v xml:space="preserve"> </v>
      </c>
      <c r="E333" s="31"/>
      <c r="F333" s="33"/>
    </row>
    <row r="334" spans="1:6" ht="12.3">
      <c r="A334" s="34"/>
      <c r="B334" s="30"/>
      <c r="C334" s="31"/>
      <c r="D334" s="32" t="str">
        <f>IF(ISBLANK(A334)," ",VLOOKUP(A334,'Product Database'!A:B,2,FALSE))</f>
        <v xml:space="preserve"> </v>
      </c>
      <c r="E334" s="31"/>
      <c r="F334" s="33"/>
    </row>
    <row r="335" spans="1:6" ht="12.3">
      <c r="A335" s="34"/>
      <c r="B335" s="30"/>
      <c r="C335" s="31"/>
      <c r="D335" s="32" t="str">
        <f>IF(ISBLANK(A335)," ",VLOOKUP(A335,'Product Database'!A:B,2,FALSE))</f>
        <v xml:space="preserve"> </v>
      </c>
      <c r="E335" s="31"/>
      <c r="F335" s="33"/>
    </row>
    <row r="336" spans="1:6" ht="12.3">
      <c r="A336" s="34"/>
      <c r="B336" s="30"/>
      <c r="C336" s="31"/>
      <c r="D336" s="32" t="str">
        <f>IF(ISBLANK(A336)," ",VLOOKUP(A336,'Product Database'!A:B,2,FALSE))</f>
        <v xml:space="preserve"> </v>
      </c>
      <c r="E336" s="31"/>
      <c r="F336" s="33"/>
    </row>
    <row r="337" spans="1:6" ht="12.3">
      <c r="A337" s="34"/>
      <c r="B337" s="30"/>
      <c r="C337" s="31"/>
      <c r="D337" s="32" t="str">
        <f>IF(ISBLANK(A337)," ",VLOOKUP(A337,'Product Database'!A:B,2,FALSE))</f>
        <v xml:space="preserve"> </v>
      </c>
      <c r="E337" s="31"/>
      <c r="F337" s="33"/>
    </row>
    <row r="338" spans="1:6" ht="12.3">
      <c r="A338" s="34"/>
      <c r="B338" s="30"/>
      <c r="C338" s="31"/>
      <c r="D338" s="32" t="str">
        <f>IF(ISBLANK(A338)," ",VLOOKUP(A338,'Product Database'!A:B,2,FALSE))</f>
        <v xml:space="preserve"> </v>
      </c>
      <c r="E338" s="31"/>
      <c r="F338" s="33"/>
    </row>
    <row r="339" spans="1:6" ht="12.3">
      <c r="A339" s="34"/>
      <c r="B339" s="30"/>
      <c r="C339" s="31"/>
      <c r="D339" s="32" t="str">
        <f>IF(ISBLANK(A339)," ",VLOOKUP(A339,'Product Database'!A:B,2,FALSE))</f>
        <v xml:space="preserve"> </v>
      </c>
      <c r="E339" s="31"/>
      <c r="F339" s="33"/>
    </row>
    <row r="340" spans="1:6" ht="12.3">
      <c r="A340" s="34"/>
      <c r="B340" s="30"/>
      <c r="C340" s="31"/>
      <c r="D340" s="32" t="str">
        <f>IF(ISBLANK(A340)," ",VLOOKUP(A340,'Product Database'!A:B,2,FALSE))</f>
        <v xml:space="preserve"> </v>
      </c>
      <c r="E340" s="31"/>
      <c r="F340" s="33"/>
    </row>
    <row r="341" spans="1:6" ht="12.3">
      <c r="A341" s="34"/>
      <c r="B341" s="30"/>
      <c r="C341" s="31"/>
      <c r="D341" s="32" t="str">
        <f>IF(ISBLANK(A341)," ",VLOOKUP(A341,'Product Database'!A:B,2,FALSE))</f>
        <v xml:space="preserve"> </v>
      </c>
      <c r="E341" s="31"/>
      <c r="F341" s="33"/>
    </row>
    <row r="342" spans="1:6" ht="12.3">
      <c r="A342" s="34"/>
      <c r="B342" s="30"/>
      <c r="C342" s="31"/>
      <c r="D342" s="32" t="str">
        <f>IF(ISBLANK(A342)," ",VLOOKUP(A342,'Product Database'!A:B,2,FALSE))</f>
        <v xml:space="preserve"> </v>
      </c>
      <c r="E342" s="31"/>
      <c r="F342" s="33"/>
    </row>
    <row r="343" spans="1:6" ht="12.3">
      <c r="A343" s="34"/>
      <c r="B343" s="30"/>
      <c r="C343" s="31"/>
      <c r="D343" s="32" t="str">
        <f>IF(ISBLANK(A343)," ",VLOOKUP(A343,'Product Database'!A:B,2,FALSE))</f>
        <v xml:space="preserve"> </v>
      </c>
      <c r="E343" s="31"/>
      <c r="F343" s="33"/>
    </row>
    <row r="344" spans="1:6" ht="12.3">
      <c r="A344" s="34"/>
      <c r="B344" s="30"/>
      <c r="C344" s="31"/>
      <c r="D344" s="32" t="str">
        <f>IF(ISBLANK(A344)," ",VLOOKUP(A344,'Product Database'!A:B,2,FALSE))</f>
        <v xml:space="preserve"> </v>
      </c>
      <c r="E344" s="31"/>
      <c r="F344" s="33"/>
    </row>
    <row r="345" spans="1:6" ht="12.3">
      <c r="A345" s="34"/>
      <c r="B345" s="30"/>
      <c r="C345" s="31"/>
      <c r="D345" s="32" t="str">
        <f>IF(ISBLANK(A345)," ",VLOOKUP(A345,'Product Database'!A:B,2,FALSE))</f>
        <v xml:space="preserve"> </v>
      </c>
      <c r="E345" s="31"/>
      <c r="F345" s="33"/>
    </row>
    <row r="346" spans="1:6" ht="12.3">
      <c r="A346" s="34"/>
      <c r="B346" s="30"/>
      <c r="C346" s="31"/>
      <c r="D346" s="32" t="str">
        <f>IF(ISBLANK(A346)," ",VLOOKUP(A346,'Product Database'!A:B,2,FALSE))</f>
        <v xml:space="preserve"> </v>
      </c>
      <c r="E346" s="31"/>
      <c r="F346" s="33"/>
    </row>
    <row r="347" spans="1:6" ht="12.3">
      <c r="A347" s="34"/>
      <c r="B347" s="30"/>
      <c r="C347" s="31"/>
      <c r="D347" s="32" t="str">
        <f>IF(ISBLANK(A347)," ",VLOOKUP(A347,'Product Database'!A:B,2,FALSE))</f>
        <v xml:space="preserve"> </v>
      </c>
      <c r="E347" s="31"/>
      <c r="F347" s="33"/>
    </row>
    <row r="348" spans="1:6" ht="12.3">
      <c r="A348" s="34"/>
      <c r="B348" s="30"/>
      <c r="C348" s="31"/>
      <c r="D348" s="32" t="str">
        <f>IF(ISBLANK(A348)," ",VLOOKUP(A348,'Product Database'!A:B,2,FALSE))</f>
        <v xml:space="preserve"> </v>
      </c>
      <c r="E348" s="31"/>
      <c r="F348" s="33"/>
    </row>
    <row r="349" spans="1:6" ht="12.3">
      <c r="A349" s="34"/>
      <c r="B349" s="30"/>
      <c r="C349" s="31"/>
      <c r="D349" s="32" t="str">
        <f>IF(ISBLANK(A349)," ",VLOOKUP(A349,'Product Database'!A:B,2,FALSE))</f>
        <v xml:space="preserve"> </v>
      </c>
      <c r="E349" s="31"/>
      <c r="F349" s="33"/>
    </row>
    <row r="350" spans="1:6" ht="12.3">
      <c r="A350" s="34"/>
      <c r="B350" s="30"/>
      <c r="C350" s="31"/>
      <c r="D350" s="32" t="str">
        <f>IF(ISBLANK(A350)," ",VLOOKUP(A350,'Product Database'!A:B,2,FALSE))</f>
        <v xml:space="preserve"> </v>
      </c>
      <c r="E350" s="31"/>
      <c r="F350" s="33"/>
    </row>
    <row r="351" spans="1:6" ht="12.3">
      <c r="A351" s="34"/>
      <c r="B351" s="30"/>
      <c r="C351" s="31"/>
      <c r="D351" s="32" t="str">
        <f>IF(ISBLANK(A351)," ",VLOOKUP(A351,'Product Database'!A:B,2,FALSE))</f>
        <v xml:space="preserve"> </v>
      </c>
      <c r="E351" s="31"/>
      <c r="F351" s="33"/>
    </row>
    <row r="352" spans="1:6" ht="12.3">
      <c r="A352" s="34"/>
      <c r="B352" s="30"/>
      <c r="C352" s="31"/>
      <c r="D352" s="32" t="str">
        <f>IF(ISBLANK(A352)," ",VLOOKUP(A352,'Product Database'!A:B,2,FALSE))</f>
        <v xml:space="preserve"> </v>
      </c>
      <c r="E352" s="31"/>
      <c r="F352" s="33"/>
    </row>
    <row r="353" spans="1:6" ht="12.3">
      <c r="A353" s="34"/>
      <c r="B353" s="30"/>
      <c r="C353" s="31"/>
      <c r="D353" s="32" t="str">
        <f>IF(ISBLANK(A353)," ",VLOOKUP(A353,'Product Database'!A:B,2,FALSE))</f>
        <v xml:space="preserve"> </v>
      </c>
      <c r="E353" s="31"/>
      <c r="F353" s="33"/>
    </row>
    <row r="354" spans="1:6" ht="12.3">
      <c r="A354" s="34"/>
      <c r="B354" s="30"/>
      <c r="C354" s="31"/>
      <c r="D354" s="32" t="str">
        <f>IF(ISBLANK(A354)," ",VLOOKUP(A354,'Product Database'!A:B,2,FALSE))</f>
        <v xml:space="preserve"> </v>
      </c>
      <c r="E354" s="31"/>
      <c r="F354" s="33"/>
    </row>
    <row r="355" spans="1:6" ht="12.3">
      <c r="A355" s="34"/>
      <c r="B355" s="30"/>
      <c r="C355" s="31"/>
      <c r="D355" s="32" t="str">
        <f>IF(ISBLANK(A355)," ",VLOOKUP(A355,'Product Database'!A:B,2,FALSE))</f>
        <v xml:space="preserve"> </v>
      </c>
      <c r="E355" s="31"/>
      <c r="F355" s="33"/>
    </row>
    <row r="356" spans="1:6" ht="12.3">
      <c r="A356" s="34"/>
      <c r="B356" s="30"/>
      <c r="C356" s="31"/>
      <c r="D356" s="32" t="str">
        <f>IF(ISBLANK(A356)," ",VLOOKUP(A356,'Product Database'!A:B,2,FALSE))</f>
        <v xml:space="preserve"> </v>
      </c>
      <c r="E356" s="31"/>
      <c r="F356" s="33"/>
    </row>
    <row r="357" spans="1:6" ht="12.3">
      <c r="A357" s="34"/>
      <c r="B357" s="30"/>
      <c r="C357" s="31"/>
      <c r="D357" s="32" t="str">
        <f>IF(ISBLANK(A357)," ",VLOOKUP(A357,'Product Database'!A:B,2,FALSE))</f>
        <v xml:space="preserve"> </v>
      </c>
      <c r="E357" s="31"/>
      <c r="F357" s="33"/>
    </row>
    <row r="358" spans="1:6" ht="12.3">
      <c r="A358" s="34"/>
      <c r="B358" s="30"/>
      <c r="C358" s="31"/>
      <c r="D358" s="32" t="str">
        <f>IF(ISBLANK(A358)," ",VLOOKUP(A358,'Product Database'!A:B,2,FALSE))</f>
        <v xml:space="preserve"> </v>
      </c>
      <c r="E358" s="31"/>
      <c r="F358" s="33"/>
    </row>
    <row r="359" spans="1:6" ht="12.3">
      <c r="A359" s="34"/>
      <c r="B359" s="30"/>
      <c r="C359" s="31"/>
      <c r="D359" s="32" t="str">
        <f>IF(ISBLANK(A359)," ",VLOOKUP(A359,'Product Database'!A:B,2,FALSE))</f>
        <v xml:space="preserve"> </v>
      </c>
      <c r="E359" s="31"/>
      <c r="F359" s="33"/>
    </row>
    <row r="360" spans="1:6" ht="12.3">
      <c r="A360" s="34"/>
      <c r="B360" s="30"/>
      <c r="C360" s="31"/>
      <c r="D360" s="32" t="str">
        <f>IF(ISBLANK(A360)," ",VLOOKUP(A360,'Product Database'!A:B,2,FALSE))</f>
        <v xml:space="preserve"> </v>
      </c>
      <c r="E360" s="31"/>
      <c r="F360" s="33"/>
    </row>
    <row r="361" spans="1:6" ht="12.3">
      <c r="A361" s="34"/>
      <c r="B361" s="30"/>
      <c r="C361" s="31"/>
      <c r="D361" s="32" t="str">
        <f>IF(ISBLANK(A361)," ",VLOOKUP(A361,'Product Database'!A:B,2,FALSE))</f>
        <v xml:space="preserve"> </v>
      </c>
      <c r="E361" s="31"/>
      <c r="F361" s="33"/>
    </row>
    <row r="362" spans="1:6" ht="12.3">
      <c r="A362" s="34"/>
      <c r="B362" s="30"/>
      <c r="C362" s="31"/>
      <c r="D362" s="32" t="str">
        <f>IF(ISBLANK(A362)," ",VLOOKUP(A362,'Product Database'!A:B,2,FALSE))</f>
        <v xml:space="preserve"> </v>
      </c>
      <c r="E362" s="31"/>
      <c r="F362" s="33"/>
    </row>
    <row r="363" spans="1:6" ht="12.3">
      <c r="A363" s="34"/>
      <c r="B363" s="30"/>
      <c r="C363" s="31"/>
      <c r="D363" s="32" t="str">
        <f>IF(ISBLANK(A363)," ",VLOOKUP(A363,'Product Database'!A:B,2,FALSE))</f>
        <v xml:space="preserve"> </v>
      </c>
      <c r="E363" s="31"/>
      <c r="F363" s="33"/>
    </row>
    <row r="364" spans="1:6" ht="12.3">
      <c r="A364" s="34"/>
      <c r="B364" s="30"/>
      <c r="C364" s="31"/>
      <c r="D364" s="32" t="str">
        <f>IF(ISBLANK(A364)," ",VLOOKUP(A364,'Product Database'!A:B,2,FALSE))</f>
        <v xml:space="preserve"> </v>
      </c>
      <c r="E364" s="31"/>
      <c r="F364" s="33"/>
    </row>
    <row r="365" spans="1:6" ht="12.3">
      <c r="A365" s="34"/>
      <c r="B365" s="30"/>
      <c r="C365" s="31"/>
      <c r="D365" s="32" t="str">
        <f>IF(ISBLANK(A365)," ",VLOOKUP(A365,'Product Database'!A:B,2,FALSE))</f>
        <v xml:space="preserve"> </v>
      </c>
      <c r="E365" s="31"/>
      <c r="F365" s="33"/>
    </row>
    <row r="366" spans="1:6" ht="12.3">
      <c r="A366" s="34"/>
      <c r="B366" s="30"/>
      <c r="C366" s="31"/>
      <c r="D366" s="32" t="str">
        <f>IF(ISBLANK(A366)," ",VLOOKUP(A366,'Product Database'!A:B,2,FALSE))</f>
        <v xml:space="preserve"> </v>
      </c>
      <c r="E366" s="31"/>
      <c r="F366" s="33"/>
    </row>
    <row r="367" spans="1:6" ht="12.3">
      <c r="A367" s="34"/>
      <c r="B367" s="30"/>
      <c r="C367" s="31"/>
      <c r="D367" s="32" t="str">
        <f>IF(ISBLANK(A367)," ",VLOOKUP(A367,'Product Database'!A:B,2,FALSE))</f>
        <v xml:space="preserve"> </v>
      </c>
      <c r="E367" s="31"/>
      <c r="F367" s="33"/>
    </row>
    <row r="368" spans="1:6" ht="12.3">
      <c r="A368" s="34"/>
      <c r="B368" s="30"/>
      <c r="C368" s="31"/>
      <c r="D368" s="32" t="str">
        <f>IF(ISBLANK(A368)," ",VLOOKUP(A368,'Product Database'!A:B,2,FALSE))</f>
        <v xml:space="preserve"> </v>
      </c>
      <c r="E368" s="31"/>
      <c r="F368" s="33"/>
    </row>
    <row r="369" spans="1:6" ht="12.3">
      <c r="A369" s="34"/>
      <c r="B369" s="30"/>
      <c r="C369" s="31"/>
      <c r="D369" s="32" t="str">
        <f>IF(ISBLANK(A369)," ",VLOOKUP(A369,'Product Database'!A:B,2,FALSE))</f>
        <v xml:space="preserve"> </v>
      </c>
      <c r="E369" s="31"/>
      <c r="F369" s="33"/>
    </row>
    <row r="370" spans="1:6" ht="12.3">
      <c r="A370" s="34"/>
      <c r="B370" s="30"/>
      <c r="C370" s="31"/>
      <c r="D370" s="32" t="str">
        <f>IF(ISBLANK(A370)," ",VLOOKUP(A370,'Product Database'!A:B,2,FALSE))</f>
        <v xml:space="preserve"> </v>
      </c>
      <c r="E370" s="31"/>
      <c r="F370" s="33"/>
    </row>
    <row r="371" spans="1:6" ht="12.3">
      <c r="A371" s="34"/>
      <c r="B371" s="30"/>
      <c r="C371" s="31"/>
      <c r="D371" s="32" t="str">
        <f>IF(ISBLANK(A371)," ",VLOOKUP(A371,'Product Database'!A:B,2,FALSE))</f>
        <v xml:space="preserve"> </v>
      </c>
      <c r="E371" s="31"/>
      <c r="F371" s="33"/>
    </row>
    <row r="372" spans="1:6" ht="12.3">
      <c r="A372" s="34"/>
      <c r="B372" s="30"/>
      <c r="C372" s="31"/>
      <c r="D372" s="32" t="str">
        <f>IF(ISBLANK(A372)," ",VLOOKUP(A372,'Product Database'!A:B,2,FALSE))</f>
        <v xml:space="preserve"> </v>
      </c>
      <c r="E372" s="31"/>
      <c r="F372" s="33"/>
    </row>
    <row r="373" spans="1:6" ht="12.3">
      <c r="A373" s="34"/>
      <c r="B373" s="30"/>
      <c r="C373" s="31"/>
      <c r="D373" s="32" t="str">
        <f>IF(ISBLANK(A373)," ",VLOOKUP(A373,'Product Database'!A:B,2,FALSE))</f>
        <v xml:space="preserve"> </v>
      </c>
      <c r="E373" s="31"/>
      <c r="F373" s="33"/>
    </row>
    <row r="374" spans="1:6" ht="12.3">
      <c r="A374" s="34"/>
      <c r="B374" s="30"/>
      <c r="C374" s="31"/>
      <c r="D374" s="32" t="str">
        <f>IF(ISBLANK(A374)," ",VLOOKUP(A374,'Product Database'!A:B,2,FALSE))</f>
        <v xml:space="preserve"> </v>
      </c>
      <c r="E374" s="31"/>
      <c r="F374" s="33"/>
    </row>
    <row r="375" spans="1:6" ht="12.3">
      <c r="A375" s="34"/>
      <c r="B375" s="30"/>
      <c r="C375" s="31"/>
      <c r="D375" s="32" t="str">
        <f>IF(ISBLANK(A375)," ",VLOOKUP(A375,'Product Database'!A:B,2,FALSE))</f>
        <v xml:space="preserve"> </v>
      </c>
      <c r="E375" s="31"/>
      <c r="F375" s="33"/>
    </row>
    <row r="376" spans="1:6" ht="12.3">
      <c r="A376" s="34"/>
      <c r="B376" s="30"/>
      <c r="C376" s="31"/>
      <c r="D376" s="32" t="str">
        <f>IF(ISBLANK(A376)," ",VLOOKUP(A376,'Product Database'!A:B,2,FALSE))</f>
        <v xml:space="preserve"> </v>
      </c>
      <c r="E376" s="31"/>
      <c r="F376" s="33"/>
    </row>
    <row r="377" spans="1:6" ht="12.3">
      <c r="A377" s="34"/>
      <c r="B377" s="30"/>
      <c r="C377" s="31"/>
      <c r="D377" s="32" t="str">
        <f>IF(ISBLANK(A377)," ",VLOOKUP(A377,'Product Database'!A:B,2,FALSE))</f>
        <v xml:space="preserve"> </v>
      </c>
      <c r="E377" s="31"/>
      <c r="F377" s="33"/>
    </row>
    <row r="378" spans="1:6" ht="12.3">
      <c r="A378" s="34"/>
      <c r="B378" s="30"/>
      <c r="C378" s="31"/>
      <c r="D378" s="32" t="str">
        <f>IF(ISBLANK(A378)," ",VLOOKUP(A378,'Product Database'!A:B,2,FALSE))</f>
        <v xml:space="preserve"> </v>
      </c>
      <c r="E378" s="31"/>
      <c r="F378" s="33"/>
    </row>
    <row r="379" spans="1:6" ht="12.3">
      <c r="A379" s="34"/>
      <c r="B379" s="30"/>
      <c r="C379" s="31"/>
      <c r="D379" s="32" t="str">
        <f>IF(ISBLANK(A379)," ",VLOOKUP(A379,'Product Database'!A:B,2,FALSE))</f>
        <v xml:space="preserve"> </v>
      </c>
      <c r="E379" s="31"/>
      <c r="F379" s="33"/>
    </row>
    <row r="380" spans="1:6" ht="12.3">
      <c r="A380" s="34"/>
      <c r="B380" s="30"/>
      <c r="C380" s="31"/>
      <c r="D380" s="32" t="str">
        <f>IF(ISBLANK(A380)," ",VLOOKUP(A380,'Product Database'!A:B,2,FALSE))</f>
        <v xml:space="preserve"> </v>
      </c>
      <c r="E380" s="31"/>
      <c r="F380" s="33"/>
    </row>
    <row r="381" spans="1:6" ht="12.3">
      <c r="A381" s="34"/>
      <c r="B381" s="30"/>
      <c r="C381" s="31"/>
      <c r="D381" s="32" t="str">
        <f>IF(ISBLANK(A381)," ",VLOOKUP(A381,'Product Database'!A:B,2,FALSE))</f>
        <v xml:space="preserve"> </v>
      </c>
      <c r="E381" s="31"/>
      <c r="F381" s="33"/>
    </row>
    <row r="382" spans="1:6" ht="12.3">
      <c r="A382" s="34"/>
      <c r="B382" s="30"/>
      <c r="C382" s="31"/>
      <c r="D382" s="32" t="str">
        <f>IF(ISBLANK(A382)," ",VLOOKUP(A382,'Product Database'!A:B,2,FALSE))</f>
        <v xml:space="preserve"> </v>
      </c>
      <c r="E382" s="31"/>
      <c r="F382" s="33"/>
    </row>
    <row r="383" spans="1:6" ht="12.3">
      <c r="A383" s="34"/>
      <c r="B383" s="30"/>
      <c r="C383" s="31"/>
      <c r="D383" s="32" t="str">
        <f>IF(ISBLANK(A383)," ",VLOOKUP(A383,'Product Database'!A:B,2,FALSE))</f>
        <v xml:space="preserve"> </v>
      </c>
      <c r="E383" s="31"/>
      <c r="F383" s="33"/>
    </row>
    <row r="384" spans="1:6" ht="12.3">
      <c r="A384" s="34"/>
      <c r="B384" s="30"/>
      <c r="C384" s="31"/>
      <c r="D384" s="32" t="str">
        <f>IF(ISBLANK(A384)," ",VLOOKUP(A384,'Product Database'!A:B,2,FALSE))</f>
        <v xml:space="preserve"> </v>
      </c>
      <c r="E384" s="31"/>
      <c r="F384" s="33"/>
    </row>
    <row r="385" spans="1:6" ht="12.3">
      <c r="A385" s="34"/>
      <c r="B385" s="30"/>
      <c r="C385" s="31"/>
      <c r="D385" s="32" t="str">
        <f>IF(ISBLANK(A385)," ",VLOOKUP(A385,'Product Database'!A:B,2,FALSE))</f>
        <v xml:space="preserve"> </v>
      </c>
      <c r="E385" s="31"/>
      <c r="F385" s="33"/>
    </row>
    <row r="386" spans="1:6" ht="12.3">
      <c r="A386" s="34"/>
      <c r="B386" s="30"/>
      <c r="C386" s="31"/>
      <c r="D386" s="32" t="str">
        <f>IF(ISBLANK(A386)," ",VLOOKUP(A386,'Product Database'!A:B,2,FALSE))</f>
        <v xml:space="preserve"> </v>
      </c>
      <c r="E386" s="31"/>
      <c r="F386" s="33"/>
    </row>
    <row r="387" spans="1:6" ht="12.3">
      <c r="A387" s="34"/>
      <c r="B387" s="30"/>
      <c r="C387" s="31"/>
      <c r="D387" s="32" t="str">
        <f>IF(ISBLANK(A387)," ",VLOOKUP(A387,'Product Database'!A:B,2,FALSE))</f>
        <v xml:space="preserve"> </v>
      </c>
      <c r="E387" s="31"/>
      <c r="F387" s="33"/>
    </row>
    <row r="388" spans="1:6" ht="12.3">
      <c r="A388" s="34"/>
      <c r="B388" s="30"/>
      <c r="C388" s="31"/>
      <c r="D388" s="32" t="str">
        <f>IF(ISBLANK(A388)," ",VLOOKUP(A388,'Product Database'!A:B,2,FALSE))</f>
        <v xml:space="preserve"> </v>
      </c>
      <c r="E388" s="31"/>
      <c r="F388" s="33"/>
    </row>
    <row r="389" spans="1:6" ht="12.3">
      <c r="A389" s="34"/>
      <c r="B389" s="30"/>
      <c r="C389" s="31"/>
      <c r="D389" s="32" t="str">
        <f>IF(ISBLANK(A389)," ",VLOOKUP(A389,'Product Database'!A:B,2,FALSE))</f>
        <v xml:space="preserve"> </v>
      </c>
      <c r="E389" s="31"/>
      <c r="F389" s="33"/>
    </row>
    <row r="390" spans="1:6" ht="12.3">
      <c r="A390" s="34"/>
      <c r="B390" s="30"/>
      <c r="C390" s="31"/>
      <c r="D390" s="32" t="str">
        <f>IF(ISBLANK(A390)," ",VLOOKUP(A390,'Product Database'!A:B,2,FALSE))</f>
        <v xml:space="preserve"> </v>
      </c>
      <c r="E390" s="31"/>
      <c r="F390" s="33"/>
    </row>
    <row r="391" spans="1:6" ht="12.3">
      <c r="A391" s="34"/>
      <c r="B391" s="30"/>
      <c r="C391" s="31"/>
      <c r="D391" s="32" t="str">
        <f>IF(ISBLANK(A391)," ",VLOOKUP(A391,'Product Database'!A:B,2,FALSE))</f>
        <v xml:space="preserve"> </v>
      </c>
      <c r="E391" s="31"/>
      <c r="F391" s="33"/>
    </row>
    <row r="392" spans="1:6" ht="12.3">
      <c r="A392" s="34"/>
      <c r="B392" s="30"/>
      <c r="C392" s="31"/>
      <c r="D392" s="32" t="str">
        <f>IF(ISBLANK(A392)," ",VLOOKUP(A392,'Product Database'!A:B,2,FALSE))</f>
        <v xml:space="preserve"> </v>
      </c>
      <c r="E392" s="31"/>
      <c r="F392" s="33"/>
    </row>
    <row r="393" spans="1:6" ht="12.3">
      <c r="A393" s="34"/>
      <c r="B393" s="30"/>
      <c r="C393" s="31"/>
      <c r="D393" s="32" t="str">
        <f>IF(ISBLANK(A393)," ",VLOOKUP(A393,'Product Database'!A:B,2,FALSE))</f>
        <v xml:space="preserve"> </v>
      </c>
      <c r="E393" s="31"/>
      <c r="F393" s="33"/>
    </row>
    <row r="394" spans="1:6" ht="12.3">
      <c r="A394" s="34"/>
      <c r="B394" s="30"/>
      <c r="C394" s="31"/>
      <c r="D394" s="32" t="str">
        <f>IF(ISBLANK(A394)," ",VLOOKUP(A394,'Product Database'!A:B,2,FALSE))</f>
        <v xml:space="preserve"> </v>
      </c>
      <c r="E394" s="31"/>
      <c r="F394" s="33"/>
    </row>
    <row r="395" spans="1:6" ht="12.3">
      <c r="A395" s="34"/>
      <c r="B395" s="30"/>
      <c r="C395" s="31"/>
      <c r="D395" s="32" t="str">
        <f>IF(ISBLANK(A395)," ",VLOOKUP(A395,'Product Database'!A:B,2,FALSE))</f>
        <v xml:space="preserve"> </v>
      </c>
      <c r="E395" s="31"/>
      <c r="F395" s="33"/>
    </row>
    <row r="396" spans="1:6" ht="12.3">
      <c r="A396" s="34"/>
      <c r="B396" s="30"/>
      <c r="C396" s="31"/>
      <c r="D396" s="32" t="str">
        <f>IF(ISBLANK(A396)," ",VLOOKUP(A396,'Product Database'!A:B,2,FALSE))</f>
        <v xml:space="preserve"> </v>
      </c>
      <c r="E396" s="31"/>
      <c r="F396" s="33"/>
    </row>
    <row r="397" spans="1:6" ht="12.3">
      <c r="A397" s="34"/>
      <c r="B397" s="30"/>
      <c r="C397" s="31"/>
      <c r="D397" s="32" t="str">
        <f>IF(ISBLANK(A397)," ",VLOOKUP(A397,'Product Database'!A:B,2,FALSE))</f>
        <v xml:space="preserve"> </v>
      </c>
      <c r="E397" s="31"/>
      <c r="F397" s="33"/>
    </row>
    <row r="398" spans="1:6" ht="12.3">
      <c r="A398" s="34"/>
      <c r="B398" s="30"/>
      <c r="C398" s="31"/>
      <c r="D398" s="32" t="str">
        <f>IF(ISBLANK(A398)," ",VLOOKUP(A398,'Product Database'!A:B,2,FALSE))</f>
        <v xml:space="preserve"> </v>
      </c>
      <c r="E398" s="31"/>
      <c r="F398" s="33"/>
    </row>
    <row r="399" spans="1:6" ht="12.3">
      <c r="A399" s="34"/>
      <c r="B399" s="30"/>
      <c r="C399" s="31"/>
      <c r="D399" s="32" t="str">
        <f>IF(ISBLANK(A399)," ",VLOOKUP(A399,'Product Database'!A:B,2,FALSE))</f>
        <v xml:space="preserve"> </v>
      </c>
      <c r="E399" s="31"/>
      <c r="F399" s="33"/>
    </row>
    <row r="400" spans="1:6" ht="12.3">
      <c r="A400" s="34"/>
      <c r="B400" s="30"/>
      <c r="C400" s="31"/>
      <c r="D400" s="32" t="str">
        <f>IF(ISBLANK(A400)," ",VLOOKUP(A400,'Product Database'!A:B,2,FALSE))</f>
        <v xml:space="preserve"> </v>
      </c>
      <c r="E400" s="31"/>
      <c r="F400" s="33"/>
    </row>
    <row r="401" spans="1:6" ht="12.3">
      <c r="A401" s="34"/>
      <c r="B401" s="30"/>
      <c r="C401" s="31"/>
      <c r="D401" s="32" t="str">
        <f>IF(ISBLANK(A401)," ",VLOOKUP(A401,'Product Database'!A:B,2,FALSE))</f>
        <v xml:space="preserve"> </v>
      </c>
      <c r="E401" s="31"/>
      <c r="F401" s="33"/>
    </row>
    <row r="402" spans="1:6" ht="12.3">
      <c r="A402" s="34"/>
      <c r="B402" s="30"/>
      <c r="C402" s="31"/>
      <c r="D402" s="32" t="str">
        <f>IF(ISBLANK(A402)," ",VLOOKUP(A402,'Product Database'!A:B,2,FALSE))</f>
        <v xml:space="preserve"> </v>
      </c>
      <c r="E402" s="31"/>
      <c r="F402" s="33"/>
    </row>
    <row r="403" spans="1:6" ht="12.3">
      <c r="A403" s="34"/>
      <c r="B403" s="30"/>
      <c r="C403" s="31"/>
      <c r="D403" s="32" t="str">
        <f>IF(ISBLANK(A403)," ",VLOOKUP(A403,'Product Database'!A:B,2,FALSE))</f>
        <v xml:space="preserve"> </v>
      </c>
      <c r="E403" s="31"/>
      <c r="F403" s="33"/>
    </row>
    <row r="404" spans="1:6" ht="12.3">
      <c r="A404" s="34"/>
      <c r="B404" s="30"/>
      <c r="C404" s="31"/>
      <c r="D404" s="32" t="str">
        <f>IF(ISBLANK(A404)," ",VLOOKUP(A404,'Product Database'!A:B,2,FALSE))</f>
        <v xml:space="preserve"> </v>
      </c>
      <c r="E404" s="31"/>
      <c r="F404" s="33"/>
    </row>
    <row r="405" spans="1:6" ht="12.3">
      <c r="A405" s="34"/>
      <c r="B405" s="30"/>
      <c r="C405" s="31"/>
      <c r="D405" s="32" t="str">
        <f>IF(ISBLANK(A405)," ",VLOOKUP(A405,'Product Database'!A:B,2,FALSE))</f>
        <v xml:space="preserve"> </v>
      </c>
      <c r="E405" s="31"/>
      <c r="F405" s="33"/>
    </row>
    <row r="406" spans="1:6" ht="12.3">
      <c r="A406" s="34"/>
      <c r="B406" s="30"/>
      <c r="C406" s="31"/>
      <c r="D406" s="32" t="str">
        <f>IF(ISBLANK(A406)," ",VLOOKUP(A406,'Product Database'!A:B,2,FALSE))</f>
        <v xml:space="preserve"> </v>
      </c>
      <c r="E406" s="31"/>
      <c r="F406" s="33"/>
    </row>
    <row r="407" spans="1:6" ht="12.3">
      <c r="A407" s="34"/>
      <c r="B407" s="30"/>
      <c r="C407" s="31"/>
      <c r="D407" s="32" t="str">
        <f>IF(ISBLANK(A407)," ",VLOOKUP(A407,'Product Database'!A:B,2,FALSE))</f>
        <v xml:space="preserve"> </v>
      </c>
      <c r="E407" s="31"/>
      <c r="F407" s="33"/>
    </row>
    <row r="408" spans="1:6" ht="12.3">
      <c r="A408" s="34"/>
      <c r="B408" s="30"/>
      <c r="C408" s="31"/>
      <c r="D408" s="32" t="str">
        <f>IF(ISBLANK(A408)," ",VLOOKUP(A408,'Product Database'!A:B,2,FALSE))</f>
        <v xml:space="preserve"> </v>
      </c>
      <c r="E408" s="31"/>
      <c r="F408" s="33"/>
    </row>
    <row r="409" spans="1:6" ht="12.3">
      <c r="A409" s="34"/>
      <c r="B409" s="30"/>
      <c r="C409" s="31"/>
      <c r="D409" s="32" t="str">
        <f>IF(ISBLANK(A409)," ",VLOOKUP(A409,'Product Database'!A:B,2,FALSE))</f>
        <v xml:space="preserve"> </v>
      </c>
      <c r="E409" s="31"/>
      <c r="F409" s="33"/>
    </row>
    <row r="410" spans="1:6" ht="12.3">
      <c r="A410" s="34"/>
      <c r="B410" s="30"/>
      <c r="C410" s="31"/>
      <c r="D410" s="32" t="str">
        <f>IF(ISBLANK(A410)," ",VLOOKUP(A410,'Product Database'!A:B,2,FALSE))</f>
        <v xml:space="preserve"> </v>
      </c>
      <c r="E410" s="31"/>
      <c r="F410" s="33"/>
    </row>
    <row r="411" spans="1:6" ht="12.3">
      <c r="A411" s="34"/>
      <c r="B411" s="30"/>
      <c r="C411" s="31"/>
      <c r="D411" s="32" t="str">
        <f>IF(ISBLANK(A411)," ",VLOOKUP(A411,'Product Database'!A:B,2,FALSE))</f>
        <v xml:space="preserve"> </v>
      </c>
      <c r="E411" s="31"/>
      <c r="F411" s="33"/>
    </row>
    <row r="412" spans="1:6" ht="12.3">
      <c r="A412" s="34"/>
      <c r="B412" s="30"/>
      <c r="C412" s="31"/>
      <c r="D412" s="32" t="str">
        <f>IF(ISBLANK(A412)," ",VLOOKUP(A412,'Product Database'!A:B,2,FALSE))</f>
        <v xml:space="preserve"> </v>
      </c>
      <c r="E412" s="31"/>
      <c r="F412" s="33"/>
    </row>
    <row r="413" spans="1:6" ht="12.3">
      <c r="A413" s="34"/>
      <c r="B413" s="30"/>
      <c r="C413" s="31"/>
      <c r="D413" s="32" t="str">
        <f>IF(ISBLANK(A413)," ",VLOOKUP(A413,'Product Database'!A:B,2,FALSE))</f>
        <v xml:space="preserve"> </v>
      </c>
      <c r="E413" s="31"/>
      <c r="F413" s="33"/>
    </row>
    <row r="414" spans="1:6" ht="12.3">
      <c r="A414" s="34"/>
      <c r="B414" s="30"/>
      <c r="C414" s="31"/>
      <c r="D414" s="32" t="str">
        <f>IF(ISBLANK(A414)," ",VLOOKUP(A414,'Product Database'!A:B,2,FALSE))</f>
        <v xml:space="preserve"> </v>
      </c>
      <c r="E414" s="31"/>
      <c r="F414" s="33"/>
    </row>
    <row r="415" spans="1:6" ht="12.3">
      <c r="A415" s="34"/>
      <c r="B415" s="30"/>
      <c r="C415" s="31"/>
      <c r="D415" s="32" t="str">
        <f>IF(ISBLANK(A415)," ",VLOOKUP(A415,'Product Database'!A:B,2,FALSE))</f>
        <v xml:space="preserve"> </v>
      </c>
      <c r="E415" s="31"/>
      <c r="F415" s="33"/>
    </row>
    <row r="416" spans="1:6" ht="12.3">
      <c r="A416" s="34"/>
      <c r="B416" s="30"/>
      <c r="C416" s="31"/>
      <c r="D416" s="32" t="str">
        <f>IF(ISBLANK(A416)," ",VLOOKUP(A416,'Product Database'!A:B,2,FALSE))</f>
        <v xml:space="preserve"> </v>
      </c>
      <c r="E416" s="31"/>
      <c r="F416" s="33"/>
    </row>
    <row r="417" spans="1:6" ht="12.3">
      <c r="A417" s="34"/>
      <c r="B417" s="30"/>
      <c r="C417" s="31"/>
      <c r="D417" s="32" t="str">
        <f>IF(ISBLANK(A417)," ",VLOOKUP(A417,'Product Database'!A:B,2,FALSE))</f>
        <v xml:space="preserve"> </v>
      </c>
      <c r="E417" s="31"/>
      <c r="F417" s="33"/>
    </row>
    <row r="418" spans="1:6" ht="12.3">
      <c r="A418" s="34"/>
      <c r="B418" s="30"/>
      <c r="C418" s="31"/>
      <c r="D418" s="32" t="str">
        <f>IF(ISBLANK(A418)," ",VLOOKUP(A418,'Product Database'!A:B,2,FALSE))</f>
        <v xml:space="preserve"> </v>
      </c>
      <c r="E418" s="31"/>
      <c r="F418" s="33"/>
    </row>
    <row r="419" spans="1:6" ht="12.3">
      <c r="A419" s="34"/>
      <c r="B419" s="30"/>
      <c r="C419" s="31"/>
      <c r="D419" s="32" t="str">
        <f>IF(ISBLANK(A419)," ",VLOOKUP(A419,'Product Database'!A:B,2,FALSE))</f>
        <v xml:space="preserve"> </v>
      </c>
      <c r="E419" s="31"/>
      <c r="F419" s="33"/>
    </row>
    <row r="420" spans="1:6" ht="12.3">
      <c r="A420" s="34"/>
      <c r="B420" s="30"/>
      <c r="C420" s="31"/>
      <c r="D420" s="32" t="str">
        <f>IF(ISBLANK(A420)," ",VLOOKUP(A420,'Product Database'!A:B,2,FALSE))</f>
        <v xml:space="preserve"> </v>
      </c>
      <c r="E420" s="31"/>
      <c r="F420" s="33"/>
    </row>
    <row r="421" spans="1:6" ht="12.3">
      <c r="A421" s="34"/>
      <c r="B421" s="30"/>
      <c r="C421" s="31"/>
      <c r="D421" s="32" t="str">
        <f>IF(ISBLANK(A421)," ",VLOOKUP(A421,'Product Database'!A:B,2,FALSE))</f>
        <v xml:space="preserve"> </v>
      </c>
      <c r="E421" s="31"/>
      <c r="F421" s="33"/>
    </row>
    <row r="422" spans="1:6" ht="12.3">
      <c r="A422" s="34"/>
      <c r="B422" s="30"/>
      <c r="C422" s="31"/>
      <c r="D422" s="32" t="str">
        <f>IF(ISBLANK(A422)," ",VLOOKUP(A422,'Product Database'!A:B,2,FALSE))</f>
        <v xml:space="preserve"> </v>
      </c>
      <c r="E422" s="31"/>
      <c r="F422" s="33"/>
    </row>
    <row r="423" spans="1:6" ht="12.3">
      <c r="A423" s="34"/>
      <c r="B423" s="30"/>
      <c r="C423" s="31"/>
      <c r="D423" s="32" t="str">
        <f>IF(ISBLANK(A423)," ",VLOOKUP(A423,'Product Database'!A:B,2,FALSE))</f>
        <v xml:space="preserve"> </v>
      </c>
      <c r="E423" s="31"/>
      <c r="F423" s="33"/>
    </row>
    <row r="424" spans="1:6" ht="12.3">
      <c r="A424" s="34"/>
      <c r="B424" s="30"/>
      <c r="C424" s="31"/>
      <c r="D424" s="32" t="str">
        <f>IF(ISBLANK(A424)," ",VLOOKUP(A424,'Product Database'!A:B,2,FALSE))</f>
        <v xml:space="preserve"> </v>
      </c>
      <c r="E424" s="31"/>
      <c r="F424" s="33"/>
    </row>
    <row r="425" spans="1:6" ht="12.3">
      <c r="A425" s="34"/>
      <c r="B425" s="30"/>
      <c r="C425" s="31"/>
      <c r="D425" s="32" t="str">
        <f>IF(ISBLANK(A425)," ",VLOOKUP(A425,'Product Database'!A:B,2,FALSE))</f>
        <v xml:space="preserve"> </v>
      </c>
      <c r="E425" s="31"/>
      <c r="F425" s="33"/>
    </row>
    <row r="426" spans="1:6" ht="12.3">
      <c r="A426" s="34"/>
      <c r="B426" s="30"/>
      <c r="C426" s="31"/>
      <c r="D426" s="32" t="str">
        <f>IF(ISBLANK(A426)," ",VLOOKUP(A426,'Product Database'!A:B,2,FALSE))</f>
        <v xml:space="preserve"> </v>
      </c>
      <c r="E426" s="31"/>
      <c r="F426" s="33"/>
    </row>
    <row r="427" spans="1:6" ht="12.3">
      <c r="A427" s="34"/>
      <c r="B427" s="30"/>
      <c r="C427" s="31"/>
      <c r="D427" s="32" t="str">
        <f>IF(ISBLANK(A427)," ",VLOOKUP(A427,'Product Database'!A:B,2,FALSE))</f>
        <v xml:space="preserve"> </v>
      </c>
      <c r="E427" s="31"/>
      <c r="F427" s="33"/>
    </row>
    <row r="428" spans="1:6" ht="12.3">
      <c r="A428" s="34"/>
      <c r="B428" s="30"/>
      <c r="C428" s="31"/>
      <c r="D428" s="32" t="str">
        <f>IF(ISBLANK(A428)," ",VLOOKUP(A428,'Product Database'!A:B,2,FALSE))</f>
        <v xml:space="preserve"> </v>
      </c>
      <c r="E428" s="31"/>
      <c r="F428" s="33"/>
    </row>
    <row r="429" spans="1:6" ht="12.3">
      <c r="A429" s="34"/>
      <c r="B429" s="30"/>
      <c r="C429" s="31"/>
      <c r="D429" s="32" t="str">
        <f>IF(ISBLANK(A429)," ",VLOOKUP(A429,'Product Database'!A:B,2,FALSE))</f>
        <v xml:space="preserve"> </v>
      </c>
      <c r="E429" s="31"/>
      <c r="F429" s="33"/>
    </row>
    <row r="430" spans="1:6" ht="12.3">
      <c r="A430" s="34"/>
      <c r="B430" s="30"/>
      <c r="C430" s="31"/>
      <c r="D430" s="32" t="str">
        <f>IF(ISBLANK(A430)," ",VLOOKUP(A430,'Product Database'!A:B,2,FALSE))</f>
        <v xml:space="preserve"> </v>
      </c>
      <c r="E430" s="31"/>
      <c r="F430" s="33"/>
    </row>
    <row r="431" spans="1:6" ht="12.3">
      <c r="A431" s="34"/>
      <c r="B431" s="30"/>
      <c r="C431" s="31"/>
      <c r="D431" s="32" t="str">
        <f>IF(ISBLANK(A431)," ",VLOOKUP(A431,'Product Database'!A:B,2,FALSE))</f>
        <v xml:space="preserve"> </v>
      </c>
      <c r="E431" s="31"/>
      <c r="F431" s="33"/>
    </row>
    <row r="432" spans="1:6" ht="12.3">
      <c r="A432" s="34"/>
      <c r="B432" s="30"/>
      <c r="C432" s="31"/>
      <c r="D432" s="32" t="str">
        <f>IF(ISBLANK(A432)," ",VLOOKUP(A432,'Product Database'!A:B,2,FALSE))</f>
        <v xml:space="preserve"> </v>
      </c>
      <c r="E432" s="31"/>
      <c r="F432" s="33"/>
    </row>
    <row r="433" spans="1:6" ht="12.3">
      <c r="A433" s="34"/>
      <c r="B433" s="30"/>
      <c r="C433" s="31"/>
      <c r="D433" s="32" t="str">
        <f>IF(ISBLANK(A433)," ",VLOOKUP(A433,'Product Database'!A:B,2,FALSE))</f>
        <v xml:space="preserve"> </v>
      </c>
      <c r="E433" s="31"/>
      <c r="F433" s="33"/>
    </row>
    <row r="434" spans="1:6" ht="12.3">
      <c r="A434" s="34"/>
      <c r="B434" s="30"/>
      <c r="C434" s="31"/>
      <c r="D434" s="32" t="str">
        <f>IF(ISBLANK(A434)," ",VLOOKUP(A434,'Product Database'!A:B,2,FALSE))</f>
        <v xml:space="preserve"> </v>
      </c>
      <c r="E434" s="31"/>
      <c r="F434" s="33"/>
    </row>
    <row r="435" spans="1:6" ht="12.3">
      <c r="A435" s="34"/>
      <c r="B435" s="30"/>
      <c r="C435" s="31"/>
      <c r="D435" s="32" t="str">
        <f>IF(ISBLANK(A435)," ",VLOOKUP(A435,'Product Database'!A:B,2,FALSE))</f>
        <v xml:space="preserve"> </v>
      </c>
      <c r="E435" s="31"/>
      <c r="F435" s="33"/>
    </row>
    <row r="436" spans="1:6" ht="12.3">
      <c r="A436" s="34"/>
      <c r="B436" s="30"/>
      <c r="C436" s="31"/>
      <c r="D436" s="32" t="str">
        <f>IF(ISBLANK(A436)," ",VLOOKUP(A436,'Product Database'!A:B,2,FALSE))</f>
        <v xml:space="preserve"> </v>
      </c>
      <c r="E436" s="31"/>
      <c r="F436" s="33"/>
    </row>
    <row r="437" spans="1:6" ht="12.3">
      <c r="A437" s="34"/>
      <c r="B437" s="30"/>
      <c r="C437" s="31"/>
      <c r="D437" s="32" t="str">
        <f>IF(ISBLANK(A437)," ",VLOOKUP(A437,'Product Database'!A:B,2,FALSE))</f>
        <v xml:space="preserve"> </v>
      </c>
      <c r="E437" s="31"/>
      <c r="F437" s="33"/>
    </row>
    <row r="438" spans="1:6" ht="12.3">
      <c r="A438" s="34"/>
      <c r="B438" s="30"/>
      <c r="C438" s="31"/>
      <c r="D438" s="32" t="str">
        <f>IF(ISBLANK(A438)," ",VLOOKUP(A438,'Product Database'!A:B,2,FALSE))</f>
        <v xml:space="preserve"> </v>
      </c>
      <c r="E438" s="31"/>
      <c r="F438" s="33"/>
    </row>
    <row r="439" spans="1:6" ht="12.3">
      <c r="A439" s="34"/>
      <c r="B439" s="30"/>
      <c r="C439" s="31"/>
      <c r="D439" s="32" t="str">
        <f>IF(ISBLANK(A439)," ",VLOOKUP(A439,'Product Database'!A:B,2,FALSE))</f>
        <v xml:space="preserve"> </v>
      </c>
      <c r="E439" s="31"/>
      <c r="F439" s="33"/>
    </row>
    <row r="440" spans="1:6" ht="12.3">
      <c r="A440" s="34"/>
      <c r="B440" s="30"/>
      <c r="C440" s="31"/>
      <c r="D440" s="32" t="str">
        <f>IF(ISBLANK(A440)," ",VLOOKUP(A440,'Product Database'!A:B,2,FALSE))</f>
        <v xml:space="preserve"> </v>
      </c>
      <c r="E440" s="31"/>
      <c r="F440" s="33"/>
    </row>
    <row r="441" spans="1:6" ht="12.3">
      <c r="A441" s="34"/>
      <c r="B441" s="30"/>
      <c r="C441" s="31"/>
      <c r="D441" s="32" t="str">
        <f>IF(ISBLANK(A441)," ",VLOOKUP(A441,'Product Database'!A:B,2,FALSE))</f>
        <v xml:space="preserve"> </v>
      </c>
      <c r="E441" s="31"/>
      <c r="F441" s="33"/>
    </row>
    <row r="442" spans="1:6" ht="12.3">
      <c r="A442" s="34"/>
      <c r="B442" s="30"/>
      <c r="C442" s="31"/>
      <c r="D442" s="32" t="str">
        <f>IF(ISBLANK(A442)," ",VLOOKUP(A442,'Product Database'!A:B,2,FALSE))</f>
        <v xml:space="preserve"> </v>
      </c>
      <c r="E442" s="31"/>
      <c r="F442" s="33"/>
    </row>
    <row r="443" spans="1:6" ht="12.3">
      <c r="A443" s="34"/>
      <c r="B443" s="30"/>
      <c r="C443" s="31"/>
      <c r="D443" s="32" t="str">
        <f>IF(ISBLANK(A443)," ",VLOOKUP(A443,'Product Database'!A:B,2,FALSE))</f>
        <v xml:space="preserve"> </v>
      </c>
      <c r="E443" s="31"/>
      <c r="F443" s="33"/>
    </row>
    <row r="444" spans="1:6" ht="12.3">
      <c r="A444" s="34"/>
      <c r="B444" s="30"/>
      <c r="C444" s="31"/>
      <c r="D444" s="32" t="str">
        <f>IF(ISBLANK(A444)," ",VLOOKUP(A444,'Product Database'!A:B,2,FALSE))</f>
        <v xml:space="preserve"> </v>
      </c>
      <c r="E444" s="31"/>
      <c r="F444" s="33"/>
    </row>
    <row r="445" spans="1:6" ht="12.3">
      <c r="A445" s="34"/>
      <c r="B445" s="30"/>
      <c r="C445" s="31"/>
      <c r="D445" s="32" t="str">
        <f>IF(ISBLANK(A445)," ",VLOOKUP(A445,'Product Database'!A:B,2,FALSE))</f>
        <v xml:space="preserve"> </v>
      </c>
      <c r="E445" s="31"/>
      <c r="F445" s="33"/>
    </row>
    <row r="446" spans="1:6" ht="12.3">
      <c r="A446" s="34"/>
      <c r="B446" s="30"/>
      <c r="C446" s="31"/>
      <c r="D446" s="32" t="str">
        <f>IF(ISBLANK(A446)," ",VLOOKUP(A446,'Product Database'!A:B,2,FALSE))</f>
        <v xml:space="preserve"> </v>
      </c>
      <c r="E446" s="31"/>
      <c r="F446" s="33"/>
    </row>
    <row r="447" spans="1:6" ht="12.3">
      <c r="A447" s="34"/>
      <c r="B447" s="30"/>
      <c r="C447" s="31"/>
      <c r="D447" s="32" t="str">
        <f>IF(ISBLANK(A447)," ",VLOOKUP(A447,'Product Database'!A:B,2,FALSE))</f>
        <v xml:space="preserve"> </v>
      </c>
      <c r="E447" s="31"/>
      <c r="F447" s="33"/>
    </row>
    <row r="448" spans="1:6" ht="12.3">
      <c r="A448" s="34"/>
      <c r="B448" s="30"/>
      <c r="C448" s="31"/>
      <c r="D448" s="32" t="str">
        <f>IF(ISBLANK(A448)," ",VLOOKUP(A448,'Product Database'!A:B,2,FALSE))</f>
        <v xml:space="preserve"> </v>
      </c>
      <c r="E448" s="31"/>
      <c r="F448" s="33"/>
    </row>
    <row r="449" spans="1:6" ht="12.3">
      <c r="A449" s="34"/>
      <c r="B449" s="30"/>
      <c r="C449" s="31"/>
      <c r="D449" s="32" t="str">
        <f>IF(ISBLANK(A449)," ",VLOOKUP(A449,'Product Database'!A:B,2,FALSE))</f>
        <v xml:space="preserve"> </v>
      </c>
      <c r="E449" s="31"/>
      <c r="F449" s="33"/>
    </row>
    <row r="450" spans="1:6" ht="12.3">
      <c r="A450" s="34"/>
      <c r="B450" s="30"/>
      <c r="C450" s="31"/>
      <c r="D450" s="32" t="str">
        <f>IF(ISBLANK(A450)," ",VLOOKUP(A450,'Product Database'!A:B,2,FALSE))</f>
        <v xml:space="preserve"> </v>
      </c>
      <c r="E450" s="31"/>
      <c r="F450" s="33"/>
    </row>
    <row r="451" spans="1:6" ht="12.3">
      <c r="A451" s="34"/>
      <c r="B451" s="30"/>
      <c r="C451" s="31"/>
      <c r="D451" s="32" t="str">
        <f>IF(ISBLANK(A451)," ",VLOOKUP(A451,'Product Database'!A:B,2,FALSE))</f>
        <v xml:space="preserve"> </v>
      </c>
      <c r="E451" s="31"/>
      <c r="F451" s="33"/>
    </row>
    <row r="452" spans="1:6" ht="12.3">
      <c r="A452" s="34"/>
      <c r="B452" s="30"/>
      <c r="C452" s="31"/>
      <c r="D452" s="32" t="str">
        <f>IF(ISBLANK(A452)," ",VLOOKUP(A452,'Product Database'!A:B,2,FALSE))</f>
        <v xml:space="preserve"> </v>
      </c>
      <c r="E452" s="31"/>
      <c r="F452" s="33"/>
    </row>
    <row r="453" spans="1:6" ht="12.3">
      <c r="A453" s="34"/>
      <c r="B453" s="30"/>
      <c r="C453" s="31"/>
      <c r="D453" s="32" t="str">
        <f>IF(ISBLANK(A453)," ",VLOOKUP(A453,'Product Database'!A:B,2,FALSE))</f>
        <v xml:space="preserve"> </v>
      </c>
      <c r="E453" s="31"/>
      <c r="F453" s="33"/>
    </row>
    <row r="454" spans="1:6" ht="12.3">
      <c r="A454" s="34"/>
      <c r="B454" s="30"/>
      <c r="C454" s="31"/>
      <c r="D454" s="32" t="str">
        <f>IF(ISBLANK(A454)," ",VLOOKUP(A454,'Product Database'!A:B,2,FALSE))</f>
        <v xml:space="preserve"> </v>
      </c>
      <c r="E454" s="31"/>
      <c r="F454" s="33"/>
    </row>
    <row r="455" spans="1:6" ht="12.3">
      <c r="A455" s="34"/>
      <c r="B455" s="30"/>
      <c r="C455" s="31"/>
      <c r="D455" s="32" t="str">
        <f>IF(ISBLANK(A455)," ",VLOOKUP(A455,'Product Database'!A:B,2,FALSE))</f>
        <v xml:space="preserve"> </v>
      </c>
      <c r="E455" s="31"/>
      <c r="F455" s="33"/>
    </row>
    <row r="456" spans="1:6" ht="12.3">
      <c r="A456" s="34"/>
      <c r="B456" s="30"/>
      <c r="C456" s="31"/>
      <c r="D456" s="32" t="str">
        <f>IF(ISBLANK(A456)," ",VLOOKUP(A456,'Product Database'!A:B,2,FALSE))</f>
        <v xml:space="preserve"> </v>
      </c>
      <c r="E456" s="31"/>
      <c r="F456" s="33"/>
    </row>
    <row r="457" spans="1:6" ht="12.3">
      <c r="A457" s="34"/>
      <c r="B457" s="30"/>
      <c r="C457" s="31"/>
      <c r="D457" s="32" t="str">
        <f>IF(ISBLANK(A457)," ",VLOOKUP(A457,'Product Database'!A:B,2,FALSE))</f>
        <v xml:space="preserve"> </v>
      </c>
      <c r="E457" s="31"/>
      <c r="F457" s="33"/>
    </row>
    <row r="458" spans="1:6" ht="12.3">
      <c r="A458" s="34"/>
      <c r="B458" s="30"/>
      <c r="C458" s="31"/>
      <c r="D458" s="32" t="str">
        <f>IF(ISBLANK(A458)," ",VLOOKUP(A458,'Product Database'!A:B,2,FALSE))</f>
        <v xml:space="preserve"> </v>
      </c>
      <c r="E458" s="31"/>
      <c r="F458" s="33"/>
    </row>
    <row r="459" spans="1:6" ht="12.3">
      <c r="A459" s="34"/>
      <c r="B459" s="30"/>
      <c r="C459" s="31"/>
      <c r="D459" s="32" t="str">
        <f>IF(ISBLANK(A459)," ",VLOOKUP(A459,'Product Database'!A:B,2,FALSE))</f>
        <v xml:space="preserve"> </v>
      </c>
      <c r="E459" s="31"/>
      <c r="F459" s="33"/>
    </row>
    <row r="460" spans="1:6" ht="12.3">
      <c r="A460" s="34"/>
      <c r="B460" s="30"/>
      <c r="C460" s="31"/>
      <c r="D460" s="32" t="str">
        <f>IF(ISBLANK(A460)," ",VLOOKUP(A460,'Product Database'!A:B,2,FALSE))</f>
        <v xml:space="preserve"> </v>
      </c>
      <c r="E460" s="31"/>
      <c r="F460" s="33"/>
    </row>
    <row r="461" spans="1:6" ht="12.3">
      <c r="A461" s="34"/>
      <c r="B461" s="30"/>
      <c r="C461" s="31"/>
      <c r="D461" s="32" t="str">
        <f>IF(ISBLANK(A461)," ",VLOOKUP(A461,'Product Database'!A:B,2,FALSE))</f>
        <v xml:space="preserve"> </v>
      </c>
      <c r="E461" s="31"/>
      <c r="F461" s="33"/>
    </row>
    <row r="462" spans="1:6" ht="12.3">
      <c r="A462" s="34"/>
      <c r="B462" s="30"/>
      <c r="C462" s="31"/>
      <c r="D462" s="32" t="str">
        <f>IF(ISBLANK(A462)," ",VLOOKUP(A462,'Product Database'!A:B,2,FALSE))</f>
        <v xml:space="preserve"> </v>
      </c>
      <c r="E462" s="31"/>
      <c r="F462" s="33"/>
    </row>
    <row r="463" spans="1:6" ht="12.3">
      <c r="A463" s="34"/>
      <c r="B463" s="30"/>
      <c r="C463" s="31"/>
      <c r="D463" s="32" t="str">
        <f>IF(ISBLANK(A463)," ",VLOOKUP(A463,'Product Database'!A:B,2,FALSE))</f>
        <v xml:space="preserve"> </v>
      </c>
      <c r="E463" s="31"/>
      <c r="F463" s="33"/>
    </row>
    <row r="464" spans="1:6" ht="12.3">
      <c r="A464" s="34"/>
      <c r="B464" s="30"/>
      <c r="C464" s="31"/>
      <c r="D464" s="32" t="str">
        <f>IF(ISBLANK(A464)," ",VLOOKUP(A464,'Product Database'!A:B,2,FALSE))</f>
        <v xml:space="preserve"> </v>
      </c>
      <c r="E464" s="31"/>
      <c r="F464" s="33"/>
    </row>
    <row r="465" spans="1:6" ht="12.3">
      <c r="A465" s="34"/>
      <c r="B465" s="30"/>
      <c r="C465" s="31"/>
      <c r="D465" s="32" t="str">
        <f>IF(ISBLANK(A465)," ",VLOOKUP(A465,'Product Database'!A:B,2,FALSE))</f>
        <v xml:space="preserve"> </v>
      </c>
      <c r="E465" s="31"/>
      <c r="F465" s="33"/>
    </row>
    <row r="466" spans="1:6" ht="12.3">
      <c r="A466" s="34"/>
      <c r="B466" s="30"/>
      <c r="C466" s="31"/>
      <c r="D466" s="32" t="str">
        <f>IF(ISBLANK(A466)," ",VLOOKUP(A466,'Product Database'!A:B,2,FALSE))</f>
        <v xml:space="preserve"> </v>
      </c>
      <c r="E466" s="31"/>
      <c r="F466" s="33"/>
    </row>
    <row r="467" spans="1:6" ht="12.3">
      <c r="A467" s="34"/>
      <c r="B467" s="30"/>
      <c r="C467" s="31"/>
      <c r="D467" s="32" t="str">
        <f>IF(ISBLANK(A467)," ",VLOOKUP(A467,'Product Database'!A:B,2,FALSE))</f>
        <v xml:space="preserve"> </v>
      </c>
      <c r="E467" s="31"/>
      <c r="F467" s="33"/>
    </row>
    <row r="468" spans="1:6" ht="12.3">
      <c r="A468" s="34"/>
      <c r="B468" s="30"/>
      <c r="C468" s="31"/>
      <c r="D468" s="32" t="str">
        <f>IF(ISBLANK(A468)," ",VLOOKUP(A468,'Product Database'!A:B,2,FALSE))</f>
        <v xml:space="preserve"> </v>
      </c>
      <c r="E468" s="31"/>
      <c r="F468" s="33"/>
    </row>
    <row r="469" spans="1:6" ht="12.3">
      <c r="A469" s="34"/>
      <c r="B469" s="30"/>
      <c r="C469" s="31"/>
      <c r="D469" s="32" t="str">
        <f>IF(ISBLANK(A469)," ",VLOOKUP(A469,'Product Database'!A:B,2,FALSE))</f>
        <v xml:space="preserve"> </v>
      </c>
      <c r="E469" s="31"/>
      <c r="F469" s="33"/>
    </row>
    <row r="470" spans="1:6" ht="12.3">
      <c r="A470" s="34"/>
      <c r="B470" s="30"/>
      <c r="C470" s="31"/>
      <c r="D470" s="32" t="str">
        <f>IF(ISBLANK(A470)," ",VLOOKUP(A470,'Product Database'!A:B,2,FALSE))</f>
        <v xml:space="preserve"> </v>
      </c>
      <c r="E470" s="31"/>
      <c r="F470" s="33"/>
    </row>
    <row r="471" spans="1:6" ht="12.3">
      <c r="A471" s="34"/>
      <c r="B471" s="30"/>
      <c r="C471" s="31"/>
      <c r="D471" s="32" t="str">
        <f>IF(ISBLANK(A471)," ",VLOOKUP(A471,'Product Database'!A:B,2,FALSE))</f>
        <v xml:space="preserve"> </v>
      </c>
      <c r="E471" s="31"/>
      <c r="F471" s="33"/>
    </row>
    <row r="472" spans="1:6" ht="12.3">
      <c r="A472" s="34"/>
      <c r="B472" s="30"/>
      <c r="C472" s="31"/>
      <c r="D472" s="32" t="str">
        <f>IF(ISBLANK(A472)," ",VLOOKUP(A472,'Product Database'!A:B,2,FALSE))</f>
        <v xml:space="preserve"> </v>
      </c>
      <c r="E472" s="31"/>
      <c r="F472" s="33"/>
    </row>
    <row r="473" spans="1:6" ht="12.3">
      <c r="A473" s="34"/>
      <c r="B473" s="30"/>
      <c r="C473" s="31"/>
      <c r="D473" s="32" t="str">
        <f>IF(ISBLANK(A473)," ",VLOOKUP(A473,'Product Database'!A:B,2,FALSE))</f>
        <v xml:space="preserve"> </v>
      </c>
      <c r="E473" s="31"/>
      <c r="F473" s="33"/>
    </row>
    <row r="474" spans="1:6" ht="12.3">
      <c r="A474" s="34"/>
      <c r="B474" s="30"/>
      <c r="C474" s="31"/>
      <c r="D474" s="32" t="str">
        <f>IF(ISBLANK(A474)," ",VLOOKUP(A474,'Product Database'!A:B,2,FALSE))</f>
        <v xml:space="preserve"> </v>
      </c>
      <c r="E474" s="31"/>
      <c r="F474" s="33"/>
    </row>
    <row r="475" spans="1:6" ht="12.3">
      <c r="A475" s="34"/>
      <c r="B475" s="30"/>
      <c r="C475" s="31"/>
      <c r="D475" s="32" t="str">
        <f>IF(ISBLANK(A475)," ",VLOOKUP(A475,'Product Database'!A:B,2,FALSE))</f>
        <v xml:space="preserve"> </v>
      </c>
      <c r="E475" s="31"/>
      <c r="F475" s="33"/>
    </row>
    <row r="476" spans="1:6" ht="12.3">
      <c r="A476" s="34"/>
      <c r="B476" s="30"/>
      <c r="C476" s="31"/>
      <c r="D476" s="32" t="str">
        <f>IF(ISBLANK(A476)," ",VLOOKUP(A476,'Product Database'!A:B,2,FALSE))</f>
        <v xml:space="preserve"> </v>
      </c>
      <c r="E476" s="31"/>
      <c r="F476" s="33"/>
    </row>
    <row r="477" spans="1:6" ht="12.3">
      <c r="A477" s="34"/>
      <c r="B477" s="30"/>
      <c r="C477" s="31"/>
      <c r="D477" s="32" t="str">
        <f>IF(ISBLANK(A477)," ",VLOOKUP(A477,'Product Database'!A:B,2,FALSE))</f>
        <v xml:space="preserve"> </v>
      </c>
      <c r="E477" s="31"/>
      <c r="F477" s="33"/>
    </row>
    <row r="478" spans="1:6" ht="12.3">
      <c r="A478" s="34"/>
      <c r="B478" s="30"/>
      <c r="C478" s="31"/>
      <c r="D478" s="32" t="str">
        <f>IF(ISBLANK(A478)," ",VLOOKUP(A478,'Product Database'!A:B,2,FALSE))</f>
        <v xml:space="preserve"> </v>
      </c>
      <c r="E478" s="31"/>
      <c r="F478" s="33"/>
    </row>
    <row r="479" spans="1:6" ht="12.3">
      <c r="A479" s="34"/>
      <c r="B479" s="30"/>
      <c r="C479" s="31"/>
      <c r="D479" s="32" t="str">
        <f>IF(ISBLANK(A479)," ",VLOOKUP(A479,'Product Database'!A:B,2,FALSE))</f>
        <v xml:space="preserve"> </v>
      </c>
      <c r="E479" s="31"/>
      <c r="F479" s="33"/>
    </row>
    <row r="480" spans="1:6" ht="12.3">
      <c r="A480" s="34"/>
      <c r="B480" s="30"/>
      <c r="C480" s="31"/>
      <c r="D480" s="32" t="str">
        <f>IF(ISBLANK(A480)," ",VLOOKUP(A480,'Product Database'!A:B,2,FALSE))</f>
        <v xml:space="preserve"> </v>
      </c>
      <c r="E480" s="31"/>
      <c r="F480" s="33"/>
    </row>
    <row r="481" spans="1:6" ht="12.3">
      <c r="A481" s="34"/>
      <c r="B481" s="30"/>
      <c r="C481" s="31"/>
      <c r="D481" s="32" t="str">
        <f>IF(ISBLANK(A481)," ",VLOOKUP(A481,'Product Database'!A:B,2,FALSE))</f>
        <v xml:space="preserve"> </v>
      </c>
      <c r="E481" s="31"/>
      <c r="F481" s="33"/>
    </row>
    <row r="482" spans="1:6" ht="12.3">
      <c r="A482" s="34"/>
      <c r="B482" s="30"/>
      <c r="C482" s="31"/>
      <c r="D482" s="32" t="str">
        <f>IF(ISBLANK(A482)," ",VLOOKUP(A482,'Product Database'!A:B,2,FALSE))</f>
        <v xml:space="preserve"> </v>
      </c>
      <c r="E482" s="31"/>
      <c r="F482" s="33"/>
    </row>
    <row r="483" spans="1:6" ht="12.3">
      <c r="A483" s="34"/>
      <c r="B483" s="30"/>
      <c r="C483" s="31"/>
      <c r="D483" s="32" t="str">
        <f>IF(ISBLANK(A483)," ",VLOOKUP(A483,'Product Database'!A:B,2,FALSE))</f>
        <v xml:space="preserve"> </v>
      </c>
      <c r="E483" s="31"/>
      <c r="F483" s="33"/>
    </row>
    <row r="484" spans="1:6" ht="12.3">
      <c r="A484" s="34"/>
      <c r="B484" s="30"/>
      <c r="C484" s="31"/>
      <c r="D484" s="32" t="str">
        <f>IF(ISBLANK(A484)," ",VLOOKUP(A484,'Product Database'!A:B,2,FALSE))</f>
        <v xml:space="preserve"> </v>
      </c>
      <c r="E484" s="31"/>
      <c r="F484" s="33"/>
    </row>
    <row r="485" spans="1:6" ht="12.3">
      <c r="A485" s="34"/>
      <c r="B485" s="30"/>
      <c r="C485" s="31"/>
      <c r="D485" s="32" t="str">
        <f>IF(ISBLANK(A485)," ",VLOOKUP(A485,'Product Database'!A:B,2,FALSE))</f>
        <v xml:space="preserve"> </v>
      </c>
      <c r="E485" s="31"/>
      <c r="F485" s="33"/>
    </row>
    <row r="486" spans="1:6" ht="12.3">
      <c r="A486" s="34"/>
      <c r="B486" s="30"/>
      <c r="C486" s="31"/>
      <c r="D486" s="32" t="str">
        <f>IF(ISBLANK(A486)," ",VLOOKUP(A486,'Product Database'!A:B,2,FALSE))</f>
        <v xml:space="preserve"> </v>
      </c>
      <c r="E486" s="31"/>
      <c r="F486" s="33"/>
    </row>
    <row r="487" spans="1:6" ht="12.3">
      <c r="A487" s="34"/>
      <c r="B487" s="30"/>
      <c r="C487" s="31"/>
      <c r="D487" s="32" t="str">
        <f>IF(ISBLANK(A487)," ",VLOOKUP(A487,'Product Database'!A:B,2,FALSE))</f>
        <v xml:space="preserve"> </v>
      </c>
      <c r="E487" s="31"/>
      <c r="F487" s="33"/>
    </row>
    <row r="488" spans="1:6" ht="12.3">
      <c r="A488" s="34"/>
      <c r="B488" s="30"/>
      <c r="C488" s="31"/>
      <c r="D488" s="32" t="str">
        <f>IF(ISBLANK(A488)," ",VLOOKUP(A488,'Product Database'!A:B,2,FALSE))</f>
        <v xml:space="preserve"> </v>
      </c>
      <c r="E488" s="31"/>
      <c r="F488" s="33"/>
    </row>
    <row r="489" spans="1:6" ht="12.3">
      <c r="A489" s="34"/>
      <c r="B489" s="30"/>
      <c r="C489" s="31"/>
      <c r="D489" s="32" t="str">
        <f>IF(ISBLANK(A489)," ",VLOOKUP(A489,'Product Database'!A:B,2,FALSE))</f>
        <v xml:space="preserve"> </v>
      </c>
      <c r="E489" s="31"/>
      <c r="F489" s="33"/>
    </row>
    <row r="490" spans="1:6" ht="12.3">
      <c r="A490" s="34"/>
      <c r="B490" s="30"/>
      <c r="C490" s="31"/>
      <c r="D490" s="32" t="str">
        <f>IF(ISBLANK(A490)," ",VLOOKUP(A490,'Product Database'!A:B,2,FALSE))</f>
        <v xml:space="preserve"> </v>
      </c>
      <c r="E490" s="31"/>
      <c r="F490" s="33"/>
    </row>
    <row r="491" spans="1:6" ht="12.3">
      <c r="A491" s="34"/>
      <c r="B491" s="30"/>
      <c r="C491" s="31"/>
      <c r="D491" s="32" t="str">
        <f>IF(ISBLANK(A491)," ",VLOOKUP(A491,'Product Database'!A:B,2,FALSE))</f>
        <v xml:space="preserve"> </v>
      </c>
      <c r="E491" s="31"/>
      <c r="F491" s="33"/>
    </row>
    <row r="492" spans="1:6" ht="12.3">
      <c r="A492" s="34"/>
      <c r="B492" s="30"/>
      <c r="C492" s="31"/>
      <c r="D492" s="32" t="str">
        <f>IF(ISBLANK(A492)," ",VLOOKUP(A492,'Product Database'!A:B,2,FALSE))</f>
        <v xml:space="preserve"> </v>
      </c>
      <c r="E492" s="31"/>
      <c r="F492" s="33"/>
    </row>
    <row r="493" spans="1:6" ht="12.3">
      <c r="A493" s="34"/>
      <c r="B493" s="30"/>
      <c r="C493" s="31"/>
      <c r="D493" s="32" t="str">
        <f>IF(ISBLANK(A493)," ",VLOOKUP(A493,'Product Database'!A:B,2,FALSE))</f>
        <v xml:space="preserve"> </v>
      </c>
      <c r="E493" s="31"/>
      <c r="F493" s="33"/>
    </row>
    <row r="494" spans="1:6" ht="12.3">
      <c r="A494" s="34"/>
      <c r="B494" s="30"/>
      <c r="C494" s="31"/>
      <c r="D494" s="32" t="str">
        <f>IF(ISBLANK(A494)," ",VLOOKUP(A494,'Product Database'!A:B,2,FALSE))</f>
        <v xml:space="preserve"> </v>
      </c>
      <c r="E494" s="31"/>
      <c r="F494" s="33"/>
    </row>
    <row r="495" spans="1:6" ht="12.3">
      <c r="A495" s="34"/>
      <c r="B495" s="30"/>
      <c r="C495" s="31"/>
      <c r="D495" s="32" t="str">
        <f>IF(ISBLANK(A495)," ",VLOOKUP(A495,'Product Database'!A:B,2,FALSE))</f>
        <v xml:space="preserve"> </v>
      </c>
      <c r="E495" s="31"/>
      <c r="F495" s="33"/>
    </row>
    <row r="496" spans="1:6" ht="12.3">
      <c r="A496" s="34"/>
      <c r="B496" s="30"/>
      <c r="C496" s="31"/>
      <c r="D496" s="32" t="str">
        <f>IF(ISBLANK(A496)," ",VLOOKUP(A496,'Product Database'!A:B,2,FALSE))</f>
        <v xml:space="preserve"> </v>
      </c>
      <c r="E496" s="31"/>
      <c r="F496" s="33"/>
    </row>
    <row r="497" spans="1:6" ht="12.3">
      <c r="A497" s="34"/>
      <c r="B497" s="30"/>
      <c r="C497" s="31"/>
      <c r="D497" s="32" t="str">
        <f>IF(ISBLANK(A497)," ",VLOOKUP(A497,'Product Database'!A:B,2,FALSE))</f>
        <v xml:space="preserve"> </v>
      </c>
      <c r="E497" s="31"/>
      <c r="F497" s="33"/>
    </row>
    <row r="498" spans="1:6" ht="12.3">
      <c r="A498" s="34"/>
      <c r="B498" s="30"/>
      <c r="C498" s="31"/>
      <c r="D498" s="32" t="str">
        <f>IF(ISBLANK(A498)," ",VLOOKUP(A498,'Product Database'!A:B,2,FALSE))</f>
        <v xml:space="preserve"> </v>
      </c>
      <c r="E498" s="31"/>
      <c r="F498" s="33"/>
    </row>
    <row r="499" spans="1:6" ht="12.3">
      <c r="A499" s="34"/>
      <c r="B499" s="30"/>
      <c r="C499" s="31"/>
      <c r="D499" s="32" t="str">
        <f>IF(ISBLANK(A499)," ",VLOOKUP(A499,'Product Database'!A:B,2,FALSE))</f>
        <v xml:space="preserve"> </v>
      </c>
      <c r="E499" s="31"/>
      <c r="F499" s="33"/>
    </row>
    <row r="500" spans="1:6" ht="12.3">
      <c r="A500" s="34"/>
      <c r="B500" s="30"/>
      <c r="C500" s="31"/>
      <c r="D500" s="32" t="str">
        <f>IF(ISBLANK(A500)," ",VLOOKUP(A500,'Product Database'!A:B,2,FALSE))</f>
        <v xml:space="preserve"> </v>
      </c>
      <c r="E500" s="31"/>
      <c r="F500" s="33"/>
    </row>
    <row r="501" spans="1:6" ht="12.3">
      <c r="A501" s="34"/>
      <c r="B501" s="30"/>
      <c r="C501" s="31"/>
      <c r="D501" s="32" t="str">
        <f>IF(ISBLANK(A501)," ",VLOOKUP(A501,'Product Database'!A:B,2,FALSE))</f>
        <v xml:space="preserve"> </v>
      </c>
      <c r="E501" s="31"/>
      <c r="F501" s="33"/>
    </row>
    <row r="502" spans="1:6" ht="12.3">
      <c r="A502" s="34"/>
      <c r="B502" s="30"/>
      <c r="C502" s="31"/>
      <c r="D502" s="32" t="str">
        <f>IF(ISBLANK(A502)," ",VLOOKUP(A502,'Product Database'!A:B,2,FALSE))</f>
        <v xml:space="preserve"> </v>
      </c>
      <c r="E502" s="31"/>
      <c r="F502" s="33"/>
    </row>
    <row r="503" spans="1:6" ht="12.3">
      <c r="A503" s="34"/>
      <c r="B503" s="30"/>
      <c r="C503" s="31"/>
      <c r="D503" s="32" t="str">
        <f>IF(ISBLANK(A503)," ",VLOOKUP(A503,'Product Database'!A:B,2,FALSE))</f>
        <v xml:space="preserve"> </v>
      </c>
      <c r="E503" s="31"/>
      <c r="F503" s="33"/>
    </row>
    <row r="504" spans="1:6" ht="12.3">
      <c r="A504" s="34"/>
      <c r="B504" s="30"/>
      <c r="C504" s="31"/>
      <c r="D504" s="32" t="str">
        <f>IF(ISBLANK(A504)," ",VLOOKUP(A504,'Product Database'!A:B,2,FALSE))</f>
        <v xml:space="preserve"> </v>
      </c>
      <c r="E504" s="31"/>
      <c r="F504" s="33"/>
    </row>
    <row r="505" spans="1:6" ht="12.3">
      <c r="A505" s="34"/>
      <c r="B505" s="30"/>
      <c r="C505" s="31"/>
      <c r="D505" s="32" t="str">
        <f>IF(ISBLANK(A505)," ",VLOOKUP(A505,'Product Database'!A:B,2,FALSE))</f>
        <v xml:space="preserve"> </v>
      </c>
      <c r="E505" s="31"/>
      <c r="F505" s="33"/>
    </row>
    <row r="506" spans="1:6" ht="12.3">
      <c r="A506" s="34"/>
      <c r="B506" s="30"/>
      <c r="C506" s="31"/>
      <c r="D506" s="32" t="str">
        <f>IF(ISBLANK(A506)," ",VLOOKUP(A506,'Product Database'!A:B,2,FALSE))</f>
        <v xml:space="preserve"> </v>
      </c>
      <c r="E506" s="31"/>
      <c r="F506" s="33"/>
    </row>
    <row r="507" spans="1:6" ht="12.3">
      <c r="A507" s="34"/>
      <c r="B507" s="30"/>
      <c r="C507" s="31"/>
      <c r="D507" s="32" t="str">
        <f>IF(ISBLANK(A507)," ",VLOOKUP(A507,'Product Database'!A:B,2,FALSE))</f>
        <v xml:space="preserve"> </v>
      </c>
      <c r="E507" s="31"/>
      <c r="F507" s="33"/>
    </row>
    <row r="508" spans="1:6" ht="12.3">
      <c r="A508" s="34"/>
      <c r="B508" s="30"/>
      <c r="C508" s="31"/>
      <c r="D508" s="32" t="str">
        <f>IF(ISBLANK(A508)," ",VLOOKUP(A508,'Product Database'!A:B,2,FALSE))</f>
        <v xml:space="preserve"> </v>
      </c>
      <c r="E508" s="31"/>
      <c r="F508" s="33"/>
    </row>
    <row r="509" spans="1:6" ht="12.3">
      <c r="A509" s="34"/>
      <c r="B509" s="30"/>
      <c r="C509" s="31"/>
      <c r="D509" s="32" t="str">
        <f>IF(ISBLANK(A509)," ",VLOOKUP(A509,'Product Database'!A:B,2,FALSE))</f>
        <v xml:space="preserve"> </v>
      </c>
      <c r="E509" s="31"/>
      <c r="F509" s="33"/>
    </row>
    <row r="510" spans="1:6" ht="12.3">
      <c r="A510" s="34"/>
      <c r="B510" s="30"/>
      <c r="C510" s="31"/>
      <c r="D510" s="32" t="str">
        <f>IF(ISBLANK(A510)," ",VLOOKUP(A510,'Product Database'!A:B,2,FALSE))</f>
        <v xml:space="preserve"> </v>
      </c>
      <c r="E510" s="31"/>
      <c r="F510" s="33"/>
    </row>
    <row r="511" spans="1:6" ht="12.3">
      <c r="A511" s="34"/>
      <c r="B511" s="30"/>
      <c r="C511" s="31"/>
      <c r="D511" s="32" t="str">
        <f>IF(ISBLANK(A511)," ",VLOOKUP(A511,'Product Database'!A:B,2,FALSE))</f>
        <v xml:space="preserve"> </v>
      </c>
      <c r="E511" s="31"/>
      <c r="F511" s="33"/>
    </row>
    <row r="512" spans="1:6" ht="12.3">
      <c r="A512" s="34"/>
      <c r="B512" s="30"/>
      <c r="C512" s="31"/>
      <c r="D512" s="32" t="str">
        <f>IF(ISBLANK(A512)," ",VLOOKUP(A512,'Product Database'!A:B,2,FALSE))</f>
        <v xml:space="preserve"> </v>
      </c>
      <c r="E512" s="31"/>
      <c r="F512" s="33"/>
    </row>
    <row r="513" spans="1:6" ht="12.3">
      <c r="A513" s="34"/>
      <c r="B513" s="30"/>
      <c r="C513" s="31"/>
      <c r="D513" s="32" t="str">
        <f>IF(ISBLANK(A513)," ",VLOOKUP(A513,'Product Database'!A:B,2,FALSE))</f>
        <v xml:space="preserve"> </v>
      </c>
      <c r="E513" s="31"/>
      <c r="F513" s="33"/>
    </row>
    <row r="514" spans="1:6" ht="12.3">
      <c r="A514" s="34"/>
      <c r="B514" s="30"/>
      <c r="C514" s="31"/>
      <c r="D514" s="32" t="str">
        <f>IF(ISBLANK(A514)," ",VLOOKUP(A514,'Product Database'!A:B,2,FALSE))</f>
        <v xml:space="preserve"> </v>
      </c>
      <c r="E514" s="31"/>
      <c r="F514" s="33"/>
    </row>
    <row r="515" spans="1:6" ht="12.3">
      <c r="A515" s="34"/>
      <c r="B515" s="30"/>
      <c r="C515" s="31"/>
      <c r="D515" s="32" t="str">
        <f>IF(ISBLANK(A515)," ",VLOOKUP(A515,'Product Database'!A:B,2,FALSE))</f>
        <v xml:space="preserve"> </v>
      </c>
      <c r="E515" s="31"/>
      <c r="F515" s="33"/>
    </row>
    <row r="516" spans="1:6" ht="12.3">
      <c r="A516" s="34"/>
      <c r="B516" s="30"/>
      <c r="C516" s="31"/>
      <c r="D516" s="32" t="str">
        <f>IF(ISBLANK(A516)," ",VLOOKUP(A516,'Product Database'!A:B,2,FALSE))</f>
        <v xml:space="preserve"> </v>
      </c>
      <c r="E516" s="31"/>
      <c r="F516" s="33"/>
    </row>
    <row r="517" spans="1:6" ht="12.3">
      <c r="A517" s="34"/>
      <c r="B517" s="30"/>
      <c r="C517" s="31"/>
      <c r="D517" s="32" t="str">
        <f>IF(ISBLANK(A517)," ",VLOOKUP(A517,'Product Database'!A:B,2,FALSE))</f>
        <v xml:space="preserve"> </v>
      </c>
      <c r="E517" s="31"/>
      <c r="F517" s="33"/>
    </row>
    <row r="518" spans="1:6" ht="12.3">
      <c r="A518" s="34"/>
      <c r="B518" s="30"/>
      <c r="C518" s="31"/>
      <c r="D518" s="32" t="str">
        <f>IF(ISBLANK(A518)," ",VLOOKUP(A518,'Product Database'!A:B,2,FALSE))</f>
        <v xml:space="preserve"> </v>
      </c>
      <c r="E518" s="31"/>
      <c r="F518" s="33"/>
    </row>
    <row r="519" spans="1:6" ht="12.3">
      <c r="A519" s="34"/>
      <c r="B519" s="30"/>
      <c r="C519" s="31"/>
      <c r="D519" s="32" t="str">
        <f>IF(ISBLANK(A519)," ",VLOOKUP(A519,'Product Database'!A:B,2,FALSE))</f>
        <v xml:space="preserve"> </v>
      </c>
      <c r="E519" s="31"/>
      <c r="F519" s="33"/>
    </row>
    <row r="520" spans="1:6" ht="12.3">
      <c r="A520" s="34"/>
      <c r="B520" s="30"/>
      <c r="C520" s="31"/>
      <c r="D520" s="32" t="str">
        <f>IF(ISBLANK(A520)," ",VLOOKUP(A520,'Product Database'!A:B,2,FALSE))</f>
        <v xml:space="preserve"> </v>
      </c>
      <c r="E520" s="31"/>
      <c r="F520" s="33"/>
    </row>
    <row r="521" spans="1:6" ht="12.3">
      <c r="A521" s="34"/>
      <c r="B521" s="30"/>
      <c r="C521" s="31"/>
      <c r="D521" s="32" t="str">
        <f>IF(ISBLANK(A521)," ",VLOOKUP(A521,'Product Database'!A:B,2,FALSE))</f>
        <v xml:space="preserve"> </v>
      </c>
      <c r="E521" s="31"/>
      <c r="F521" s="33"/>
    </row>
    <row r="522" spans="1:6" ht="12.3">
      <c r="A522" s="34"/>
      <c r="B522" s="30"/>
      <c r="C522" s="31"/>
      <c r="D522" s="32" t="str">
        <f>IF(ISBLANK(A522)," ",VLOOKUP(A522,'Product Database'!A:B,2,FALSE))</f>
        <v xml:space="preserve"> </v>
      </c>
      <c r="E522" s="31"/>
      <c r="F522" s="33"/>
    </row>
    <row r="523" spans="1:6" ht="12.3">
      <c r="A523" s="34"/>
      <c r="B523" s="30"/>
      <c r="C523" s="31"/>
      <c r="D523" s="32" t="str">
        <f>IF(ISBLANK(A523)," ",VLOOKUP(A523,'Product Database'!A:B,2,FALSE))</f>
        <v xml:space="preserve"> </v>
      </c>
      <c r="E523" s="31"/>
      <c r="F523" s="33"/>
    </row>
    <row r="524" spans="1:6" ht="12.3">
      <c r="A524" s="34"/>
      <c r="B524" s="30"/>
      <c r="C524" s="31"/>
      <c r="D524" s="32" t="str">
        <f>IF(ISBLANK(A524)," ",VLOOKUP(A524,'Product Database'!A:B,2,FALSE))</f>
        <v xml:space="preserve"> </v>
      </c>
      <c r="E524" s="31"/>
      <c r="F524" s="33"/>
    </row>
    <row r="525" spans="1:6" ht="12.3">
      <c r="A525" s="34"/>
      <c r="B525" s="30"/>
      <c r="C525" s="31"/>
      <c r="D525" s="32" t="str">
        <f>IF(ISBLANK(A525)," ",VLOOKUP(A525,'Product Database'!A:B,2,FALSE))</f>
        <v xml:space="preserve"> </v>
      </c>
      <c r="E525" s="31"/>
      <c r="F525" s="33"/>
    </row>
    <row r="526" spans="1:6" ht="12.3">
      <c r="A526" s="34"/>
      <c r="B526" s="30"/>
      <c r="C526" s="31"/>
      <c r="D526" s="32" t="str">
        <f>IF(ISBLANK(A526)," ",VLOOKUP(A526,'Product Database'!A:B,2,FALSE))</f>
        <v xml:space="preserve"> </v>
      </c>
      <c r="E526" s="31"/>
      <c r="F526" s="33"/>
    </row>
    <row r="527" spans="1:6" ht="12.3">
      <c r="A527" s="34"/>
      <c r="B527" s="30"/>
      <c r="C527" s="31"/>
      <c r="D527" s="32" t="str">
        <f>IF(ISBLANK(A527)," ",VLOOKUP(A527,'Product Database'!A:B,2,FALSE))</f>
        <v xml:space="preserve"> </v>
      </c>
      <c r="E527" s="31"/>
      <c r="F527" s="33"/>
    </row>
    <row r="528" spans="1:6" ht="12.3">
      <c r="A528" s="34"/>
      <c r="B528" s="30"/>
      <c r="C528" s="31"/>
      <c r="D528" s="32" t="str">
        <f>IF(ISBLANK(A528)," ",VLOOKUP(A528,'Product Database'!A:B,2,FALSE))</f>
        <v xml:space="preserve"> </v>
      </c>
      <c r="E528" s="31"/>
      <c r="F528" s="33"/>
    </row>
    <row r="529" spans="1:6" ht="12.3">
      <c r="A529" s="34"/>
      <c r="B529" s="30"/>
      <c r="C529" s="31"/>
      <c r="D529" s="32" t="str">
        <f>IF(ISBLANK(A529)," ",VLOOKUP(A529,'Product Database'!A:B,2,FALSE))</f>
        <v xml:space="preserve"> </v>
      </c>
      <c r="E529" s="31"/>
      <c r="F529" s="33"/>
    </row>
    <row r="530" spans="1:6" ht="12.3">
      <c r="A530" s="34"/>
      <c r="B530" s="30"/>
      <c r="C530" s="31"/>
      <c r="D530" s="32" t="str">
        <f>IF(ISBLANK(A530)," ",VLOOKUP(A530,'Product Database'!A:B,2,FALSE))</f>
        <v xml:space="preserve"> </v>
      </c>
      <c r="E530" s="31"/>
      <c r="F530" s="33"/>
    </row>
    <row r="531" spans="1:6" ht="12.3">
      <c r="A531" s="34"/>
      <c r="B531" s="30"/>
      <c r="C531" s="31"/>
      <c r="D531" s="32" t="str">
        <f>IF(ISBLANK(A531)," ",VLOOKUP(A531,'Product Database'!A:B,2,FALSE))</f>
        <v xml:space="preserve"> </v>
      </c>
      <c r="E531" s="31"/>
      <c r="F531" s="33"/>
    </row>
    <row r="532" spans="1:6" ht="12.3">
      <c r="A532" s="34"/>
      <c r="B532" s="30"/>
      <c r="C532" s="31"/>
      <c r="D532" s="32" t="str">
        <f>IF(ISBLANK(A532)," ",VLOOKUP(A532,'Product Database'!A:B,2,FALSE))</f>
        <v xml:space="preserve"> </v>
      </c>
      <c r="E532" s="31"/>
      <c r="F532" s="33"/>
    </row>
    <row r="533" spans="1:6" ht="12.3">
      <c r="A533" s="34"/>
      <c r="B533" s="30"/>
      <c r="C533" s="31"/>
      <c r="D533" s="32" t="str">
        <f>IF(ISBLANK(A533)," ",VLOOKUP(A533,'Product Database'!A:B,2,FALSE))</f>
        <v xml:space="preserve"> </v>
      </c>
      <c r="E533" s="31"/>
      <c r="F533" s="33"/>
    </row>
    <row r="534" spans="1:6" ht="12.3">
      <c r="A534" s="34"/>
      <c r="B534" s="30"/>
      <c r="C534" s="31"/>
      <c r="D534" s="32" t="str">
        <f>IF(ISBLANK(A534)," ",VLOOKUP(A534,'Product Database'!A:B,2,FALSE))</f>
        <v xml:space="preserve"> </v>
      </c>
      <c r="E534" s="31"/>
      <c r="F534" s="33"/>
    </row>
    <row r="535" spans="1:6" ht="12.3">
      <c r="A535" s="34"/>
      <c r="B535" s="30"/>
      <c r="C535" s="31"/>
      <c r="D535" s="32" t="str">
        <f>IF(ISBLANK(A535)," ",VLOOKUP(A535,'Product Database'!A:B,2,FALSE))</f>
        <v xml:space="preserve"> </v>
      </c>
      <c r="E535" s="31"/>
      <c r="F535" s="33"/>
    </row>
    <row r="536" spans="1:6" ht="12.3">
      <c r="A536" s="34"/>
      <c r="B536" s="30"/>
      <c r="C536" s="31"/>
      <c r="D536" s="32" t="str">
        <f>IF(ISBLANK(A536)," ",VLOOKUP(A536,'Product Database'!A:B,2,FALSE))</f>
        <v xml:space="preserve"> </v>
      </c>
      <c r="E536" s="31"/>
      <c r="F536" s="33"/>
    </row>
    <row r="537" spans="1:6" ht="12.3">
      <c r="A537" s="34"/>
      <c r="B537" s="30"/>
      <c r="C537" s="31"/>
      <c r="D537" s="32" t="str">
        <f>IF(ISBLANK(A537)," ",VLOOKUP(A537,'Product Database'!A:B,2,FALSE))</f>
        <v xml:space="preserve"> </v>
      </c>
      <c r="E537" s="31"/>
      <c r="F537" s="33"/>
    </row>
    <row r="538" spans="1:6" ht="12.3">
      <c r="A538" s="34"/>
      <c r="B538" s="30"/>
      <c r="C538" s="31"/>
      <c r="D538" s="32" t="str">
        <f>IF(ISBLANK(A538)," ",VLOOKUP(A538,'Product Database'!A:B,2,FALSE))</f>
        <v xml:space="preserve"> </v>
      </c>
      <c r="E538" s="31"/>
      <c r="F538" s="33"/>
    </row>
    <row r="539" spans="1:6" ht="12.3">
      <c r="A539" s="34"/>
      <c r="B539" s="30"/>
      <c r="C539" s="31"/>
      <c r="D539" s="32" t="str">
        <f>IF(ISBLANK(A539)," ",VLOOKUP(A539,'Product Database'!A:B,2,FALSE))</f>
        <v xml:space="preserve"> </v>
      </c>
      <c r="E539" s="31"/>
      <c r="F539" s="33"/>
    </row>
    <row r="540" spans="1:6" ht="12.3">
      <c r="A540" s="34"/>
      <c r="B540" s="30"/>
      <c r="C540" s="31"/>
      <c r="D540" s="32" t="str">
        <f>IF(ISBLANK(A540)," ",VLOOKUP(A540,'Product Database'!A:B,2,FALSE))</f>
        <v xml:space="preserve"> </v>
      </c>
      <c r="E540" s="31"/>
      <c r="F540" s="33"/>
    </row>
    <row r="541" spans="1:6" ht="12.3">
      <c r="A541" s="34"/>
      <c r="B541" s="30"/>
      <c r="C541" s="31"/>
      <c r="D541" s="32" t="str">
        <f>IF(ISBLANK(A541)," ",VLOOKUP(A541,'Product Database'!A:B,2,FALSE))</f>
        <v xml:space="preserve"> </v>
      </c>
      <c r="E541" s="31"/>
      <c r="F541" s="33"/>
    </row>
    <row r="542" spans="1:6" ht="12.3">
      <c r="A542" s="34"/>
      <c r="B542" s="30"/>
      <c r="C542" s="31"/>
      <c r="D542" s="32" t="str">
        <f>IF(ISBLANK(A542)," ",VLOOKUP(A542,'Product Database'!A:B,2,FALSE))</f>
        <v xml:space="preserve"> </v>
      </c>
      <c r="E542" s="31"/>
      <c r="F542" s="33"/>
    </row>
    <row r="543" spans="1:6" ht="12.3">
      <c r="A543" s="34"/>
      <c r="B543" s="30"/>
      <c r="C543" s="31"/>
      <c r="D543" s="32" t="str">
        <f>IF(ISBLANK(A543)," ",VLOOKUP(A543,'Product Database'!A:B,2,FALSE))</f>
        <v xml:space="preserve"> </v>
      </c>
      <c r="E543" s="31"/>
      <c r="F543" s="33"/>
    </row>
    <row r="544" spans="1:6" ht="12.3">
      <c r="A544" s="34"/>
      <c r="B544" s="30"/>
      <c r="C544" s="31"/>
      <c r="D544" s="32" t="str">
        <f>IF(ISBLANK(A544)," ",VLOOKUP(A544,'Product Database'!A:B,2,FALSE))</f>
        <v xml:space="preserve"> </v>
      </c>
      <c r="E544" s="31"/>
      <c r="F544" s="33"/>
    </row>
    <row r="545" spans="1:6" ht="12.3">
      <c r="A545" s="34"/>
      <c r="B545" s="30"/>
      <c r="C545" s="31"/>
      <c r="D545" s="32" t="str">
        <f>IF(ISBLANK(A545)," ",VLOOKUP(A545,'Product Database'!A:B,2,FALSE))</f>
        <v xml:space="preserve"> </v>
      </c>
      <c r="E545" s="31"/>
      <c r="F545" s="33"/>
    </row>
    <row r="546" spans="1:6" ht="12.3">
      <c r="A546" s="34"/>
      <c r="B546" s="30"/>
      <c r="C546" s="31"/>
      <c r="D546" s="32" t="str">
        <f>IF(ISBLANK(A546)," ",VLOOKUP(A546,'Product Database'!A:B,2,FALSE))</f>
        <v xml:space="preserve"> </v>
      </c>
      <c r="E546" s="31"/>
      <c r="F546" s="33"/>
    </row>
    <row r="547" spans="1:6" ht="12.3">
      <c r="A547" s="34"/>
      <c r="B547" s="30"/>
      <c r="C547" s="31"/>
      <c r="D547" s="32" t="str">
        <f>IF(ISBLANK(A547)," ",VLOOKUP(A547,'Product Database'!A:B,2,FALSE))</f>
        <v xml:space="preserve"> </v>
      </c>
      <c r="E547" s="31"/>
      <c r="F547" s="33"/>
    </row>
    <row r="548" spans="1:6" ht="12.3">
      <c r="A548" s="34"/>
      <c r="B548" s="30"/>
      <c r="C548" s="31"/>
      <c r="D548" s="32" t="str">
        <f>IF(ISBLANK(A548)," ",VLOOKUP(A548,'Product Database'!A:B,2,FALSE))</f>
        <v xml:space="preserve"> </v>
      </c>
      <c r="E548" s="31"/>
      <c r="F548" s="33"/>
    </row>
    <row r="549" spans="1:6" ht="12.3">
      <c r="A549" s="34"/>
      <c r="B549" s="30"/>
      <c r="C549" s="31"/>
      <c r="D549" s="32" t="str">
        <f>IF(ISBLANK(A549)," ",VLOOKUP(A549,'Product Database'!A:B,2,FALSE))</f>
        <v xml:space="preserve"> </v>
      </c>
      <c r="E549" s="31"/>
      <c r="F549" s="33"/>
    </row>
    <row r="550" spans="1:6" ht="12.3">
      <c r="A550" s="34"/>
      <c r="B550" s="30"/>
      <c r="C550" s="31"/>
      <c r="D550" s="32" t="str">
        <f>IF(ISBLANK(A550)," ",VLOOKUP(A550,'Product Database'!A:B,2,FALSE))</f>
        <v xml:space="preserve"> </v>
      </c>
      <c r="E550" s="31"/>
      <c r="F550" s="33"/>
    </row>
    <row r="551" spans="1:6" ht="12.3">
      <c r="A551" s="34"/>
      <c r="B551" s="30"/>
      <c r="C551" s="31"/>
      <c r="D551" s="32" t="str">
        <f>IF(ISBLANK(A551)," ",VLOOKUP(A551,'Product Database'!A:B,2,FALSE))</f>
        <v xml:space="preserve"> </v>
      </c>
      <c r="E551" s="31"/>
      <c r="F551" s="33"/>
    </row>
    <row r="552" spans="1:6" ht="12.3">
      <c r="A552" s="34"/>
      <c r="B552" s="30"/>
      <c r="C552" s="31"/>
      <c r="D552" s="32" t="str">
        <f>IF(ISBLANK(A552)," ",VLOOKUP(A552,'Product Database'!A:B,2,FALSE))</f>
        <v xml:space="preserve"> </v>
      </c>
      <c r="E552" s="31"/>
      <c r="F552" s="33"/>
    </row>
    <row r="553" spans="1:6" ht="12.3">
      <c r="A553" s="34"/>
      <c r="B553" s="30"/>
      <c r="C553" s="31"/>
      <c r="D553" s="32" t="str">
        <f>IF(ISBLANK(A553)," ",VLOOKUP(A553,'Product Database'!A:B,2,FALSE))</f>
        <v xml:space="preserve"> </v>
      </c>
      <c r="E553" s="31"/>
      <c r="F553" s="33"/>
    </row>
    <row r="554" spans="1:6" ht="12.3">
      <c r="A554" s="34"/>
      <c r="B554" s="30"/>
      <c r="C554" s="31"/>
      <c r="D554" s="32" t="str">
        <f>IF(ISBLANK(A554)," ",VLOOKUP(A554,'Product Database'!A:B,2,FALSE))</f>
        <v xml:space="preserve"> </v>
      </c>
      <c r="E554" s="31"/>
      <c r="F554" s="33"/>
    </row>
    <row r="555" spans="1:6" ht="12.3">
      <c r="A555" s="34"/>
      <c r="B555" s="30"/>
      <c r="C555" s="31"/>
      <c r="D555" s="32" t="str">
        <f>IF(ISBLANK(A555)," ",VLOOKUP(A555,'Product Database'!A:B,2,FALSE))</f>
        <v xml:space="preserve"> </v>
      </c>
      <c r="E555" s="31"/>
      <c r="F555" s="33"/>
    </row>
    <row r="556" spans="1:6" ht="12.3">
      <c r="A556" s="34"/>
      <c r="B556" s="30"/>
      <c r="C556" s="31"/>
      <c r="D556" s="32" t="str">
        <f>IF(ISBLANK(A556)," ",VLOOKUP(A556,'Product Database'!A:B,2,FALSE))</f>
        <v xml:space="preserve"> </v>
      </c>
      <c r="E556" s="31"/>
      <c r="F556" s="33"/>
    </row>
    <row r="557" spans="1:6" ht="12.3">
      <c r="A557" s="34"/>
      <c r="B557" s="30"/>
      <c r="C557" s="31"/>
      <c r="D557" s="32" t="str">
        <f>IF(ISBLANK(A557)," ",VLOOKUP(A557,'Product Database'!A:B,2,FALSE))</f>
        <v xml:space="preserve"> </v>
      </c>
      <c r="E557" s="31"/>
      <c r="F557" s="33"/>
    </row>
    <row r="558" spans="1:6" ht="12.3">
      <c r="A558" s="34"/>
      <c r="B558" s="30"/>
      <c r="C558" s="31"/>
      <c r="D558" s="32" t="str">
        <f>IF(ISBLANK(A558)," ",VLOOKUP(A558,'Product Database'!A:B,2,FALSE))</f>
        <v xml:space="preserve"> </v>
      </c>
      <c r="E558" s="31"/>
      <c r="F558" s="33"/>
    </row>
    <row r="559" spans="1:6" ht="12.3">
      <c r="A559" s="34"/>
      <c r="B559" s="30"/>
      <c r="C559" s="31"/>
      <c r="D559" s="32" t="str">
        <f>IF(ISBLANK(A559)," ",VLOOKUP(A559,'Product Database'!A:B,2,FALSE))</f>
        <v xml:space="preserve"> </v>
      </c>
      <c r="E559" s="31"/>
      <c r="F559" s="33"/>
    </row>
    <row r="560" spans="1:6" ht="12.3">
      <c r="A560" s="34"/>
      <c r="B560" s="30"/>
      <c r="C560" s="31"/>
      <c r="D560" s="32" t="str">
        <f>IF(ISBLANK(A560)," ",VLOOKUP(A560,'Product Database'!A:B,2,FALSE))</f>
        <v xml:space="preserve"> </v>
      </c>
      <c r="E560" s="31"/>
      <c r="F560" s="33"/>
    </row>
    <row r="561" spans="1:6" ht="12.3">
      <c r="A561" s="34"/>
      <c r="B561" s="30"/>
      <c r="C561" s="31"/>
      <c r="D561" s="32" t="str">
        <f>IF(ISBLANK(A561)," ",VLOOKUP(A561,'Product Database'!A:B,2,FALSE))</f>
        <v xml:space="preserve"> </v>
      </c>
      <c r="E561" s="31"/>
      <c r="F561" s="33"/>
    </row>
    <row r="562" spans="1:6" ht="12.3">
      <c r="A562" s="34"/>
      <c r="B562" s="30"/>
      <c r="C562" s="31"/>
      <c r="D562" s="32" t="str">
        <f>IF(ISBLANK(A562)," ",VLOOKUP(A562,'Product Database'!A:B,2,FALSE))</f>
        <v xml:space="preserve"> </v>
      </c>
      <c r="E562" s="31"/>
      <c r="F562" s="33"/>
    </row>
    <row r="563" spans="1:6" ht="12.3">
      <c r="A563" s="34"/>
      <c r="B563" s="30"/>
      <c r="C563" s="31"/>
      <c r="D563" s="32" t="str">
        <f>IF(ISBLANK(A563)," ",VLOOKUP(A563,'Product Database'!A:B,2,FALSE))</f>
        <v xml:space="preserve"> </v>
      </c>
      <c r="E563" s="31"/>
      <c r="F563" s="33"/>
    </row>
    <row r="564" spans="1:6" ht="12.3">
      <c r="A564" s="34"/>
      <c r="B564" s="30"/>
      <c r="C564" s="31"/>
      <c r="D564" s="32" t="str">
        <f>IF(ISBLANK(A564)," ",VLOOKUP(A564,'Product Database'!A:B,2,FALSE))</f>
        <v xml:space="preserve"> </v>
      </c>
      <c r="E564" s="31"/>
      <c r="F564" s="33"/>
    </row>
    <row r="565" spans="1:6" ht="12.3">
      <c r="A565" s="34"/>
      <c r="B565" s="30"/>
      <c r="C565" s="31"/>
      <c r="D565" s="32" t="str">
        <f>IF(ISBLANK(A565)," ",VLOOKUP(A565,'Product Database'!A:B,2,FALSE))</f>
        <v xml:space="preserve"> </v>
      </c>
      <c r="E565" s="31"/>
      <c r="F565" s="33"/>
    </row>
    <row r="566" spans="1:6" ht="12.3">
      <c r="A566" s="34"/>
      <c r="B566" s="30"/>
      <c r="C566" s="31"/>
      <c r="D566" s="32" t="str">
        <f>IF(ISBLANK(A566)," ",VLOOKUP(A566,'Product Database'!A:B,2,FALSE))</f>
        <v xml:space="preserve"> </v>
      </c>
      <c r="E566" s="31"/>
      <c r="F566" s="33"/>
    </row>
    <row r="567" spans="1:6" ht="12.3">
      <c r="A567" s="34"/>
      <c r="B567" s="30"/>
      <c r="C567" s="31"/>
      <c r="D567" s="32" t="str">
        <f>IF(ISBLANK(A567)," ",VLOOKUP(A567,'Product Database'!A:B,2,FALSE))</f>
        <v xml:space="preserve"> </v>
      </c>
      <c r="E567" s="31"/>
      <c r="F567" s="33"/>
    </row>
    <row r="568" spans="1:6" ht="12.3">
      <c r="A568" s="34"/>
      <c r="B568" s="30"/>
      <c r="C568" s="31"/>
      <c r="D568" s="32" t="str">
        <f>IF(ISBLANK(A568)," ",VLOOKUP(A568,'Product Database'!A:B,2,FALSE))</f>
        <v xml:space="preserve"> </v>
      </c>
      <c r="E568" s="31"/>
      <c r="F568" s="33"/>
    </row>
    <row r="569" spans="1:6" ht="12.3">
      <c r="A569" s="34"/>
      <c r="B569" s="30"/>
      <c r="C569" s="31"/>
      <c r="D569" s="32" t="str">
        <f>IF(ISBLANK(A569)," ",VLOOKUP(A569,'Product Database'!A:B,2,FALSE))</f>
        <v xml:space="preserve"> </v>
      </c>
      <c r="E569" s="31"/>
      <c r="F569" s="33"/>
    </row>
    <row r="570" spans="1:6" ht="12.3">
      <c r="A570" s="34"/>
      <c r="B570" s="30"/>
      <c r="C570" s="31"/>
      <c r="D570" s="32" t="str">
        <f>IF(ISBLANK(A570)," ",VLOOKUP(A570,'Product Database'!A:B,2,FALSE))</f>
        <v xml:space="preserve"> </v>
      </c>
      <c r="E570" s="31"/>
      <c r="F570" s="33"/>
    </row>
    <row r="571" spans="1:6" ht="12.3">
      <c r="A571" s="34"/>
      <c r="B571" s="30"/>
      <c r="C571" s="31"/>
      <c r="D571" s="32" t="str">
        <f>IF(ISBLANK(A571)," ",VLOOKUP(A571,'Product Database'!A:B,2,FALSE))</f>
        <v xml:space="preserve"> </v>
      </c>
      <c r="E571" s="31"/>
      <c r="F571" s="33"/>
    </row>
    <row r="572" spans="1:6" ht="12.3">
      <c r="A572" s="34"/>
      <c r="B572" s="30"/>
      <c r="C572" s="31"/>
      <c r="D572" s="32" t="str">
        <f>IF(ISBLANK(A572)," ",VLOOKUP(A572,'Product Database'!A:B,2,FALSE))</f>
        <v xml:space="preserve"> </v>
      </c>
      <c r="E572" s="31"/>
      <c r="F572" s="33"/>
    </row>
    <row r="573" spans="1:6" ht="12.3">
      <c r="A573" s="34"/>
      <c r="B573" s="30"/>
      <c r="C573" s="31"/>
      <c r="D573" s="32" t="str">
        <f>IF(ISBLANK(A573)," ",VLOOKUP(A573,'Product Database'!A:B,2,FALSE))</f>
        <v xml:space="preserve"> </v>
      </c>
      <c r="E573" s="31"/>
      <c r="F573" s="33"/>
    </row>
    <row r="574" spans="1:6" ht="12.3">
      <c r="A574" s="34"/>
      <c r="B574" s="30"/>
      <c r="C574" s="31"/>
      <c r="D574" s="32" t="str">
        <f>IF(ISBLANK(A574)," ",VLOOKUP(A574,'Product Database'!A:B,2,FALSE))</f>
        <v xml:space="preserve"> </v>
      </c>
      <c r="E574" s="31"/>
      <c r="F574" s="33"/>
    </row>
    <row r="575" spans="1:6" ht="12.3">
      <c r="A575" s="34"/>
      <c r="B575" s="30"/>
      <c r="C575" s="31"/>
      <c r="D575" s="32" t="str">
        <f>IF(ISBLANK(A575)," ",VLOOKUP(A575,'Product Database'!A:B,2,FALSE))</f>
        <v xml:space="preserve"> </v>
      </c>
      <c r="E575" s="31"/>
      <c r="F575" s="33"/>
    </row>
    <row r="576" spans="1:6" ht="12.3">
      <c r="A576" s="34"/>
      <c r="B576" s="30"/>
      <c r="C576" s="31"/>
      <c r="D576" s="32" t="str">
        <f>IF(ISBLANK(A576)," ",VLOOKUP(A576,'Product Database'!A:B,2,FALSE))</f>
        <v xml:space="preserve"> </v>
      </c>
      <c r="E576" s="31"/>
      <c r="F576" s="33"/>
    </row>
    <row r="577" spans="1:6" ht="12.3">
      <c r="A577" s="34"/>
      <c r="B577" s="30"/>
      <c r="C577" s="31"/>
      <c r="D577" s="32" t="str">
        <f>IF(ISBLANK(A577)," ",VLOOKUP(A577,'Product Database'!A:B,2,FALSE))</f>
        <v xml:space="preserve"> </v>
      </c>
      <c r="E577" s="31"/>
      <c r="F577" s="33"/>
    </row>
    <row r="578" spans="1:6" ht="12.3">
      <c r="A578" s="34"/>
      <c r="B578" s="30"/>
      <c r="C578" s="31"/>
      <c r="D578" s="32" t="str">
        <f>IF(ISBLANK(A578)," ",VLOOKUP(A578,'Product Database'!A:B,2,FALSE))</f>
        <v xml:space="preserve"> </v>
      </c>
      <c r="E578" s="31"/>
      <c r="F578" s="33"/>
    </row>
    <row r="579" spans="1:6" ht="12.3">
      <c r="A579" s="34"/>
      <c r="B579" s="30"/>
      <c r="C579" s="31"/>
      <c r="D579" s="32" t="str">
        <f>IF(ISBLANK(A579)," ",VLOOKUP(A579,'Product Database'!A:B,2,FALSE))</f>
        <v xml:space="preserve"> </v>
      </c>
      <c r="E579" s="31"/>
      <c r="F579" s="33"/>
    </row>
    <row r="580" spans="1:6" ht="12.3">
      <c r="A580" s="34"/>
      <c r="B580" s="30"/>
      <c r="C580" s="31"/>
      <c r="D580" s="32" t="str">
        <f>IF(ISBLANK(A580)," ",VLOOKUP(A580,'Product Database'!A:B,2,FALSE))</f>
        <v xml:space="preserve"> </v>
      </c>
      <c r="E580" s="31"/>
      <c r="F580" s="33"/>
    </row>
    <row r="581" spans="1:6" ht="12.3">
      <c r="A581" s="34"/>
      <c r="B581" s="30"/>
      <c r="C581" s="31"/>
      <c r="D581" s="32" t="str">
        <f>IF(ISBLANK(A581)," ",VLOOKUP(A581,'Product Database'!A:B,2,FALSE))</f>
        <v xml:space="preserve"> </v>
      </c>
      <c r="E581" s="31"/>
      <c r="F581" s="33"/>
    </row>
    <row r="582" spans="1:6" ht="12.3">
      <c r="A582" s="34"/>
      <c r="B582" s="30"/>
      <c r="C582" s="31"/>
      <c r="D582" s="32" t="str">
        <f>IF(ISBLANK(A582)," ",VLOOKUP(A582,'Product Database'!A:B,2,FALSE))</f>
        <v xml:space="preserve"> </v>
      </c>
      <c r="E582" s="31"/>
      <c r="F582" s="33"/>
    </row>
    <row r="583" spans="1:6" ht="12.3">
      <c r="A583" s="34"/>
      <c r="B583" s="30"/>
      <c r="C583" s="31"/>
      <c r="D583" s="32" t="str">
        <f>IF(ISBLANK(A583)," ",VLOOKUP(A583,'Product Database'!A:B,2,FALSE))</f>
        <v xml:space="preserve"> </v>
      </c>
      <c r="E583" s="31"/>
      <c r="F583" s="33"/>
    </row>
    <row r="584" spans="1:6" ht="12.3">
      <c r="A584" s="34"/>
      <c r="B584" s="30"/>
      <c r="C584" s="31"/>
      <c r="D584" s="32" t="str">
        <f>IF(ISBLANK(A584)," ",VLOOKUP(A584,'Product Database'!A:B,2,FALSE))</f>
        <v xml:space="preserve"> </v>
      </c>
      <c r="E584" s="31"/>
      <c r="F584" s="33"/>
    </row>
    <row r="585" spans="1:6" ht="12.3">
      <c r="A585" s="34"/>
      <c r="B585" s="30"/>
      <c r="C585" s="31"/>
      <c r="D585" s="32" t="str">
        <f>IF(ISBLANK(A585)," ",VLOOKUP(A585,'Product Database'!A:B,2,FALSE))</f>
        <v xml:space="preserve"> </v>
      </c>
      <c r="E585" s="31"/>
      <c r="F585" s="33"/>
    </row>
    <row r="586" spans="1:6" ht="12.3">
      <c r="A586" s="34"/>
      <c r="B586" s="30"/>
      <c r="C586" s="31"/>
      <c r="D586" s="32" t="str">
        <f>IF(ISBLANK(A586)," ",VLOOKUP(A586,'Product Database'!A:B,2,FALSE))</f>
        <v xml:space="preserve"> </v>
      </c>
      <c r="E586" s="31"/>
      <c r="F586" s="33"/>
    </row>
    <row r="587" spans="1:6" ht="12.3">
      <c r="A587" s="34"/>
      <c r="B587" s="30"/>
      <c r="C587" s="31"/>
      <c r="D587" s="32" t="str">
        <f>IF(ISBLANK(A587)," ",VLOOKUP(A587,'Product Database'!A:B,2,FALSE))</f>
        <v xml:space="preserve"> </v>
      </c>
      <c r="E587" s="31"/>
      <c r="F587" s="33"/>
    </row>
    <row r="588" spans="1:6" ht="12.3">
      <c r="A588" s="34"/>
      <c r="B588" s="30"/>
      <c r="C588" s="31"/>
      <c r="D588" s="32" t="str">
        <f>IF(ISBLANK(A588)," ",VLOOKUP(A588,'Product Database'!A:B,2,FALSE))</f>
        <v xml:space="preserve"> </v>
      </c>
      <c r="E588" s="31"/>
      <c r="F588" s="33"/>
    </row>
    <row r="589" spans="1:6" ht="12.3">
      <c r="A589" s="34"/>
      <c r="B589" s="30"/>
      <c r="C589" s="31"/>
      <c r="D589" s="32" t="str">
        <f>IF(ISBLANK(A589)," ",VLOOKUP(A589,'Product Database'!A:B,2,FALSE))</f>
        <v xml:space="preserve"> </v>
      </c>
      <c r="E589" s="31"/>
      <c r="F589" s="33"/>
    </row>
    <row r="590" spans="1:6" ht="12.3">
      <c r="A590" s="34"/>
      <c r="B590" s="30"/>
      <c r="C590" s="31"/>
      <c r="D590" s="32" t="str">
        <f>IF(ISBLANK(A590)," ",VLOOKUP(A590,'Product Database'!A:B,2,FALSE))</f>
        <v xml:space="preserve"> </v>
      </c>
      <c r="E590" s="31"/>
      <c r="F590" s="33"/>
    </row>
    <row r="591" spans="1:6" ht="12.3">
      <c r="A591" s="34"/>
      <c r="B591" s="30"/>
      <c r="C591" s="31"/>
      <c r="D591" s="32" t="str">
        <f>IF(ISBLANK(A591)," ",VLOOKUP(A591,'Product Database'!A:B,2,FALSE))</f>
        <v xml:space="preserve"> </v>
      </c>
      <c r="E591" s="31"/>
      <c r="F591" s="33"/>
    </row>
    <row r="592" spans="1:6" ht="12.3">
      <c r="A592" s="34"/>
      <c r="B592" s="30"/>
      <c r="C592" s="31"/>
      <c r="D592" s="32" t="str">
        <f>IF(ISBLANK(A592)," ",VLOOKUP(A592,'Product Database'!A:B,2,FALSE))</f>
        <v xml:space="preserve"> </v>
      </c>
      <c r="E592" s="31"/>
      <c r="F592" s="33"/>
    </row>
    <row r="593" spans="1:6" ht="12.3">
      <c r="A593" s="34"/>
      <c r="B593" s="30"/>
      <c r="C593" s="31"/>
      <c r="D593" s="32" t="str">
        <f>IF(ISBLANK(A593)," ",VLOOKUP(A593,'Product Database'!A:B,2,FALSE))</f>
        <v xml:space="preserve"> </v>
      </c>
      <c r="E593" s="31"/>
      <c r="F593" s="33"/>
    </row>
    <row r="594" spans="1:6" ht="12.3">
      <c r="A594" s="34"/>
      <c r="B594" s="30"/>
      <c r="C594" s="31"/>
      <c r="D594" s="32" t="str">
        <f>IF(ISBLANK(A594)," ",VLOOKUP(A594,'Product Database'!A:B,2,FALSE))</f>
        <v xml:space="preserve"> </v>
      </c>
      <c r="E594" s="31"/>
      <c r="F594" s="33"/>
    </row>
    <row r="595" spans="1:6" ht="12.3">
      <c r="A595" s="34"/>
      <c r="B595" s="30"/>
      <c r="C595" s="31"/>
      <c r="D595" s="32" t="str">
        <f>IF(ISBLANK(A595)," ",VLOOKUP(A595,'Product Database'!A:B,2,FALSE))</f>
        <v xml:space="preserve"> </v>
      </c>
      <c r="E595" s="31"/>
      <c r="F595" s="33"/>
    </row>
    <row r="596" spans="1:6" ht="12.3">
      <c r="A596" s="34"/>
      <c r="B596" s="30"/>
      <c r="C596" s="31"/>
      <c r="D596" s="32" t="str">
        <f>IF(ISBLANK(A596)," ",VLOOKUP(A596,'Product Database'!A:B,2,FALSE))</f>
        <v xml:space="preserve"> </v>
      </c>
      <c r="E596" s="31"/>
      <c r="F596" s="33"/>
    </row>
    <row r="597" spans="1:6" ht="12.3">
      <c r="A597" s="34"/>
      <c r="B597" s="30"/>
      <c r="C597" s="31"/>
      <c r="D597" s="32" t="str">
        <f>IF(ISBLANK(A597)," ",VLOOKUP(A597,'Product Database'!A:B,2,FALSE))</f>
        <v xml:space="preserve"> </v>
      </c>
      <c r="E597" s="31"/>
      <c r="F597" s="33"/>
    </row>
    <row r="598" spans="1:6" ht="12.3">
      <c r="A598" s="34"/>
      <c r="B598" s="30"/>
      <c r="C598" s="31"/>
      <c r="D598" s="32" t="str">
        <f>IF(ISBLANK(A598)," ",VLOOKUP(A598,'Product Database'!A:B,2,FALSE))</f>
        <v xml:space="preserve"> </v>
      </c>
      <c r="E598" s="31"/>
      <c r="F598" s="33"/>
    </row>
    <row r="599" spans="1:6" ht="12.3">
      <c r="A599" s="34"/>
      <c r="B599" s="30"/>
      <c r="C599" s="31"/>
      <c r="D599" s="32" t="str">
        <f>IF(ISBLANK(A599)," ",VLOOKUP(A599,'Product Database'!A:B,2,FALSE))</f>
        <v xml:space="preserve"> </v>
      </c>
      <c r="E599" s="31"/>
      <c r="F599" s="33"/>
    </row>
    <row r="600" spans="1:6" ht="12.3">
      <c r="A600" s="34"/>
      <c r="B600" s="30"/>
      <c r="C600" s="31"/>
      <c r="D600" s="32" t="str">
        <f>IF(ISBLANK(A600)," ",VLOOKUP(A600,'Product Database'!A:B,2,FALSE))</f>
        <v xml:space="preserve"> </v>
      </c>
      <c r="E600" s="31"/>
      <c r="F600" s="33"/>
    </row>
    <row r="601" spans="1:6" ht="12.3">
      <c r="A601" s="34"/>
      <c r="B601" s="30"/>
      <c r="C601" s="31"/>
      <c r="D601" s="32" t="str">
        <f>IF(ISBLANK(A601)," ",VLOOKUP(A601,'Product Database'!A:B,2,FALSE))</f>
        <v xml:space="preserve"> </v>
      </c>
      <c r="E601" s="31"/>
      <c r="F601" s="33"/>
    </row>
    <row r="602" spans="1:6" ht="12.3">
      <c r="A602" s="34"/>
      <c r="B602" s="30"/>
      <c r="C602" s="31"/>
      <c r="D602" s="32" t="str">
        <f>IF(ISBLANK(A602)," ",VLOOKUP(A602,'Product Database'!A:B,2,FALSE))</f>
        <v xml:space="preserve"> </v>
      </c>
      <c r="E602" s="31"/>
      <c r="F602" s="33"/>
    </row>
    <row r="603" spans="1:6" ht="12.3">
      <c r="A603" s="34"/>
      <c r="B603" s="30"/>
      <c r="C603" s="31"/>
      <c r="D603" s="32" t="str">
        <f>IF(ISBLANK(A603)," ",VLOOKUP(A603,'Product Database'!A:B,2,FALSE))</f>
        <v xml:space="preserve"> </v>
      </c>
      <c r="E603" s="31"/>
      <c r="F603" s="33"/>
    </row>
    <row r="604" spans="1:6" ht="12.3">
      <c r="A604" s="34"/>
      <c r="B604" s="30"/>
      <c r="C604" s="31"/>
      <c r="D604" s="32" t="str">
        <f>IF(ISBLANK(A604)," ",VLOOKUP(A604,'Product Database'!A:B,2,FALSE))</f>
        <v xml:space="preserve"> </v>
      </c>
      <c r="E604" s="31"/>
      <c r="F604" s="33"/>
    </row>
    <row r="605" spans="1:6" ht="12.3">
      <c r="A605" s="34"/>
      <c r="B605" s="30"/>
      <c r="C605" s="31"/>
      <c r="D605" s="32" t="str">
        <f>IF(ISBLANK(A605)," ",VLOOKUP(A605,'Product Database'!A:B,2,FALSE))</f>
        <v xml:space="preserve"> </v>
      </c>
      <c r="E605" s="31"/>
      <c r="F605" s="33"/>
    </row>
    <row r="606" spans="1:6" ht="12.3">
      <c r="A606" s="34"/>
      <c r="B606" s="30"/>
      <c r="C606" s="31"/>
      <c r="D606" s="32" t="str">
        <f>IF(ISBLANK(A606)," ",VLOOKUP(A606,'Product Database'!A:B,2,FALSE))</f>
        <v xml:space="preserve"> </v>
      </c>
      <c r="E606" s="31"/>
      <c r="F606" s="33"/>
    </row>
    <row r="607" spans="1:6" ht="12.3">
      <c r="A607" s="34"/>
      <c r="B607" s="30"/>
      <c r="C607" s="31"/>
      <c r="D607" s="32" t="str">
        <f>IF(ISBLANK(A607)," ",VLOOKUP(A607,'Product Database'!A:B,2,FALSE))</f>
        <v xml:space="preserve"> </v>
      </c>
      <c r="E607" s="31"/>
      <c r="F607" s="33"/>
    </row>
    <row r="608" spans="1:6" ht="12.3">
      <c r="A608" s="34"/>
      <c r="B608" s="30"/>
      <c r="C608" s="31"/>
      <c r="D608" s="32" t="str">
        <f>IF(ISBLANK(A608)," ",VLOOKUP(A608,'Product Database'!A:B,2,FALSE))</f>
        <v xml:space="preserve"> </v>
      </c>
      <c r="E608" s="31"/>
      <c r="F608" s="33"/>
    </row>
    <row r="609" spans="1:6" ht="12.3">
      <c r="A609" s="34"/>
      <c r="B609" s="30"/>
      <c r="C609" s="31"/>
      <c r="D609" s="32" t="str">
        <f>IF(ISBLANK(A609)," ",VLOOKUP(A609,'Product Database'!A:B,2,FALSE))</f>
        <v xml:space="preserve"> </v>
      </c>
      <c r="E609" s="31"/>
      <c r="F609" s="33"/>
    </row>
    <row r="610" spans="1:6" ht="12.3">
      <c r="A610" s="34"/>
      <c r="B610" s="30"/>
      <c r="C610" s="31"/>
      <c r="D610" s="32" t="str">
        <f>IF(ISBLANK(A610)," ",VLOOKUP(A610,'Product Database'!A:B,2,FALSE))</f>
        <v xml:space="preserve"> </v>
      </c>
      <c r="E610" s="31"/>
      <c r="F610" s="33"/>
    </row>
    <row r="611" spans="1:6" ht="12.3">
      <c r="A611" s="34"/>
      <c r="B611" s="30"/>
      <c r="C611" s="31"/>
      <c r="D611" s="32" t="str">
        <f>IF(ISBLANK(A611)," ",VLOOKUP(A611,'Product Database'!A:B,2,FALSE))</f>
        <v xml:space="preserve"> </v>
      </c>
      <c r="E611" s="31"/>
      <c r="F611" s="33"/>
    </row>
    <row r="612" spans="1:6" ht="12.3">
      <c r="A612" s="34"/>
      <c r="B612" s="30"/>
      <c r="C612" s="31"/>
      <c r="D612" s="32" t="str">
        <f>IF(ISBLANK(A612)," ",VLOOKUP(A612,'Product Database'!A:B,2,FALSE))</f>
        <v xml:space="preserve"> </v>
      </c>
      <c r="E612" s="31"/>
      <c r="F612" s="33"/>
    </row>
    <row r="613" spans="1:6" ht="12.3">
      <c r="A613" s="34"/>
      <c r="B613" s="30"/>
      <c r="C613" s="31"/>
      <c r="D613" s="32" t="str">
        <f>IF(ISBLANK(A613)," ",VLOOKUP(A613,'Product Database'!A:B,2,FALSE))</f>
        <v xml:space="preserve"> </v>
      </c>
      <c r="E613" s="31"/>
      <c r="F613" s="33"/>
    </row>
    <row r="614" spans="1:6" ht="12.3">
      <c r="A614" s="34"/>
      <c r="B614" s="30"/>
      <c r="C614" s="31"/>
      <c r="D614" s="32" t="str">
        <f>IF(ISBLANK(A614)," ",VLOOKUP(A614,'Product Database'!A:B,2,FALSE))</f>
        <v xml:space="preserve"> </v>
      </c>
      <c r="E614" s="31"/>
      <c r="F614" s="33"/>
    </row>
    <row r="615" spans="1:6" ht="12.3">
      <c r="A615" s="34"/>
      <c r="B615" s="30"/>
      <c r="C615" s="31"/>
      <c r="D615" s="32" t="str">
        <f>IF(ISBLANK(A615)," ",VLOOKUP(A615,'Product Database'!A:B,2,FALSE))</f>
        <v xml:space="preserve"> </v>
      </c>
      <c r="E615" s="31"/>
      <c r="F615" s="33"/>
    </row>
    <row r="616" spans="1:6" ht="12.3">
      <c r="A616" s="34"/>
      <c r="B616" s="30"/>
      <c r="C616" s="31"/>
      <c r="D616" s="32" t="str">
        <f>IF(ISBLANK(A616)," ",VLOOKUP(A616,'Product Database'!A:B,2,FALSE))</f>
        <v xml:space="preserve"> </v>
      </c>
      <c r="E616" s="31"/>
      <c r="F616" s="33"/>
    </row>
    <row r="617" spans="1:6" ht="12.3">
      <c r="A617" s="34"/>
      <c r="B617" s="30"/>
      <c r="C617" s="31"/>
      <c r="D617" s="32" t="str">
        <f>IF(ISBLANK(A617)," ",VLOOKUP(A617,'Product Database'!A:B,2,FALSE))</f>
        <v xml:space="preserve"> </v>
      </c>
      <c r="E617" s="31"/>
      <c r="F617" s="33"/>
    </row>
    <row r="618" spans="1:6" ht="12.3">
      <c r="A618" s="34"/>
      <c r="B618" s="30"/>
      <c r="C618" s="31"/>
      <c r="D618" s="32" t="str">
        <f>IF(ISBLANK(A618)," ",VLOOKUP(A618,'Product Database'!A:B,2,FALSE))</f>
        <v xml:space="preserve"> </v>
      </c>
      <c r="E618" s="31"/>
      <c r="F618" s="33"/>
    </row>
    <row r="619" spans="1:6" ht="12.3">
      <c r="A619" s="34"/>
      <c r="B619" s="30"/>
      <c r="C619" s="31"/>
      <c r="D619" s="32" t="str">
        <f>IF(ISBLANK(A619)," ",VLOOKUP(A619,'Product Database'!A:B,2,FALSE))</f>
        <v xml:space="preserve"> </v>
      </c>
      <c r="E619" s="31"/>
      <c r="F619" s="33"/>
    </row>
    <row r="620" spans="1:6" ht="12.3">
      <c r="A620" s="34"/>
      <c r="B620" s="30"/>
      <c r="C620" s="31"/>
      <c r="D620" s="32" t="str">
        <f>IF(ISBLANK(A620)," ",VLOOKUP(A620,'Product Database'!A:B,2,FALSE))</f>
        <v xml:space="preserve"> </v>
      </c>
      <c r="E620" s="31"/>
      <c r="F620" s="33"/>
    </row>
    <row r="621" spans="1:6" ht="12.3">
      <c r="A621" s="34"/>
      <c r="B621" s="30"/>
      <c r="C621" s="31"/>
      <c r="D621" s="32" t="str">
        <f>IF(ISBLANK(A621)," ",VLOOKUP(A621,'Product Database'!A:B,2,FALSE))</f>
        <v xml:space="preserve"> </v>
      </c>
      <c r="E621" s="31"/>
      <c r="F621" s="33"/>
    </row>
    <row r="622" spans="1:6" ht="12.3">
      <c r="A622" s="34"/>
      <c r="B622" s="30"/>
      <c r="C622" s="31"/>
      <c r="D622" s="32" t="str">
        <f>IF(ISBLANK(A622)," ",VLOOKUP(A622,'Product Database'!A:B,2,FALSE))</f>
        <v xml:space="preserve"> </v>
      </c>
      <c r="E622" s="31"/>
      <c r="F622" s="33"/>
    </row>
    <row r="623" spans="1:6" ht="12.3">
      <c r="A623" s="34"/>
      <c r="B623" s="30"/>
      <c r="C623" s="31"/>
      <c r="D623" s="32" t="str">
        <f>IF(ISBLANK(A623)," ",VLOOKUP(A623,'Product Database'!A:B,2,FALSE))</f>
        <v xml:space="preserve"> </v>
      </c>
      <c r="E623" s="31"/>
      <c r="F623" s="33"/>
    </row>
    <row r="624" spans="1:6" ht="12.3">
      <c r="A624" s="34"/>
      <c r="B624" s="30"/>
      <c r="C624" s="31"/>
      <c r="D624" s="32" t="str">
        <f>IF(ISBLANK(A624)," ",VLOOKUP(A624,'Product Database'!A:B,2,FALSE))</f>
        <v xml:space="preserve"> </v>
      </c>
      <c r="E624" s="31"/>
      <c r="F624" s="33"/>
    </row>
    <row r="625" spans="1:6" ht="12.3">
      <c r="A625" s="34"/>
      <c r="B625" s="30"/>
      <c r="C625" s="31"/>
      <c r="D625" s="32" t="str">
        <f>IF(ISBLANK(A625)," ",VLOOKUP(A625,'Product Database'!A:B,2,FALSE))</f>
        <v xml:space="preserve"> </v>
      </c>
      <c r="E625" s="31"/>
      <c r="F625" s="33"/>
    </row>
    <row r="626" spans="1:6" ht="12.3">
      <c r="A626" s="34"/>
      <c r="B626" s="30"/>
      <c r="C626" s="31"/>
      <c r="D626" s="32" t="str">
        <f>IF(ISBLANK(A626)," ",VLOOKUP(A626,'Product Database'!A:B,2,FALSE))</f>
        <v xml:space="preserve"> </v>
      </c>
      <c r="E626" s="31"/>
      <c r="F626" s="33"/>
    </row>
    <row r="627" spans="1:6" ht="12.3">
      <c r="A627" s="34"/>
      <c r="B627" s="30"/>
      <c r="C627" s="31"/>
      <c r="D627" s="32" t="str">
        <f>IF(ISBLANK(A627)," ",VLOOKUP(A627,'Product Database'!A:B,2,FALSE))</f>
        <v xml:space="preserve"> </v>
      </c>
      <c r="E627" s="31"/>
      <c r="F627" s="33"/>
    </row>
    <row r="628" spans="1:6" ht="12.3">
      <c r="A628" s="34"/>
      <c r="B628" s="30"/>
      <c r="C628" s="31"/>
      <c r="D628" s="32" t="str">
        <f>IF(ISBLANK(A628)," ",VLOOKUP(A628,'Product Database'!A:B,2,FALSE))</f>
        <v xml:space="preserve"> </v>
      </c>
      <c r="E628" s="31"/>
      <c r="F628" s="33"/>
    </row>
    <row r="629" spans="1:6" ht="12.3">
      <c r="A629" s="34"/>
      <c r="B629" s="30"/>
      <c r="C629" s="31"/>
      <c r="D629" s="32" t="str">
        <f>IF(ISBLANK(A629)," ",VLOOKUP(A629,'Product Database'!A:B,2,FALSE))</f>
        <v xml:space="preserve"> </v>
      </c>
      <c r="E629" s="31"/>
      <c r="F629" s="33"/>
    </row>
    <row r="630" spans="1:6" ht="12.3">
      <c r="A630" s="34"/>
      <c r="B630" s="30"/>
      <c r="C630" s="31"/>
      <c r="D630" s="32" t="str">
        <f>IF(ISBLANK(A630)," ",VLOOKUP(A630,'Product Database'!A:B,2,FALSE))</f>
        <v xml:space="preserve"> </v>
      </c>
      <c r="E630" s="31"/>
      <c r="F630" s="33"/>
    </row>
    <row r="631" spans="1:6" ht="12.3">
      <c r="A631" s="34"/>
      <c r="B631" s="30"/>
      <c r="C631" s="31"/>
      <c r="D631" s="32" t="str">
        <f>IF(ISBLANK(A631)," ",VLOOKUP(A631,'Product Database'!A:B,2,FALSE))</f>
        <v xml:space="preserve"> </v>
      </c>
      <c r="E631" s="31"/>
      <c r="F631" s="33"/>
    </row>
    <row r="632" spans="1:6" ht="12.3">
      <c r="A632" s="34"/>
      <c r="B632" s="30"/>
      <c r="C632" s="31"/>
      <c r="D632" s="32" t="str">
        <f>IF(ISBLANK(A632)," ",VLOOKUP(A632,'Product Database'!A:B,2,FALSE))</f>
        <v xml:space="preserve"> </v>
      </c>
      <c r="E632" s="31"/>
      <c r="F632" s="33"/>
    </row>
    <row r="633" spans="1:6" ht="12.3">
      <c r="A633" s="34"/>
      <c r="B633" s="30"/>
      <c r="C633" s="31"/>
      <c r="D633" s="32" t="str">
        <f>IF(ISBLANK(A633)," ",VLOOKUP(A633,'Product Database'!A:B,2,FALSE))</f>
        <v xml:space="preserve"> </v>
      </c>
      <c r="E633" s="31"/>
      <c r="F633" s="33"/>
    </row>
    <row r="634" spans="1:6" ht="12.3">
      <c r="A634" s="34"/>
      <c r="B634" s="30"/>
      <c r="C634" s="31"/>
      <c r="D634" s="32" t="str">
        <f>IF(ISBLANK(A634)," ",VLOOKUP(A634,'Product Database'!A:B,2,FALSE))</f>
        <v xml:space="preserve"> </v>
      </c>
      <c r="E634" s="31"/>
      <c r="F634" s="33"/>
    </row>
    <row r="635" spans="1:6" ht="12.3">
      <c r="A635" s="34"/>
      <c r="B635" s="30"/>
      <c r="C635" s="31"/>
      <c r="D635" s="32" t="str">
        <f>IF(ISBLANK(A635)," ",VLOOKUP(A635,'Product Database'!A:B,2,FALSE))</f>
        <v xml:space="preserve"> </v>
      </c>
      <c r="E635" s="31"/>
      <c r="F635" s="33"/>
    </row>
    <row r="636" spans="1:6" ht="12.3">
      <c r="A636" s="34"/>
      <c r="B636" s="30"/>
      <c r="C636" s="31"/>
      <c r="D636" s="32" t="str">
        <f>IF(ISBLANK(A636)," ",VLOOKUP(A636,'Product Database'!A:B,2,FALSE))</f>
        <v xml:space="preserve"> </v>
      </c>
      <c r="E636" s="31"/>
      <c r="F636" s="33"/>
    </row>
    <row r="637" spans="1:6" ht="12.3">
      <c r="A637" s="34"/>
      <c r="B637" s="30"/>
      <c r="C637" s="31"/>
      <c r="D637" s="32" t="str">
        <f>IF(ISBLANK(A637)," ",VLOOKUP(A637,'Product Database'!A:B,2,FALSE))</f>
        <v xml:space="preserve"> </v>
      </c>
      <c r="E637" s="31"/>
      <c r="F637" s="33"/>
    </row>
    <row r="638" spans="1:6" ht="12.3">
      <c r="A638" s="34"/>
      <c r="B638" s="30"/>
      <c r="C638" s="31"/>
      <c r="D638" s="32" t="str">
        <f>IF(ISBLANK(A638)," ",VLOOKUP(A638,'Product Database'!A:B,2,FALSE))</f>
        <v xml:space="preserve"> </v>
      </c>
      <c r="E638" s="31"/>
      <c r="F638" s="33"/>
    </row>
    <row r="639" spans="1:6" ht="12.3">
      <c r="A639" s="34"/>
      <c r="B639" s="30"/>
      <c r="C639" s="31"/>
      <c r="D639" s="32" t="str">
        <f>IF(ISBLANK(A639)," ",VLOOKUP(A639,'Product Database'!A:B,2,FALSE))</f>
        <v xml:space="preserve"> </v>
      </c>
      <c r="E639" s="31"/>
      <c r="F639" s="33"/>
    </row>
    <row r="640" spans="1:6" ht="12.3">
      <c r="A640" s="34"/>
      <c r="B640" s="30"/>
      <c r="C640" s="31"/>
      <c r="D640" s="32" t="str">
        <f>IF(ISBLANK(A640)," ",VLOOKUP(A640,'Product Database'!A:B,2,FALSE))</f>
        <v xml:space="preserve"> </v>
      </c>
      <c r="E640" s="31"/>
      <c r="F640" s="33"/>
    </row>
    <row r="641" spans="1:6" ht="12.3">
      <c r="A641" s="34"/>
      <c r="B641" s="30"/>
      <c r="C641" s="31"/>
      <c r="D641" s="32" t="str">
        <f>IF(ISBLANK(A641)," ",VLOOKUP(A641,'Product Database'!A:B,2,FALSE))</f>
        <v xml:space="preserve"> </v>
      </c>
      <c r="E641" s="31"/>
      <c r="F641" s="33"/>
    </row>
    <row r="642" spans="1:6" ht="12.3">
      <c r="A642" s="34"/>
      <c r="B642" s="30"/>
      <c r="C642" s="31"/>
      <c r="D642" s="32" t="str">
        <f>IF(ISBLANK(A642)," ",VLOOKUP(A642,'Product Database'!A:B,2,FALSE))</f>
        <v xml:space="preserve"> </v>
      </c>
      <c r="E642" s="31"/>
      <c r="F642" s="33"/>
    </row>
    <row r="643" spans="1:6" ht="12.3">
      <c r="A643" s="34"/>
      <c r="B643" s="30"/>
      <c r="C643" s="31"/>
      <c r="D643" s="32" t="str">
        <f>IF(ISBLANK(A643)," ",VLOOKUP(A643,'Product Database'!A:B,2,FALSE))</f>
        <v xml:space="preserve"> </v>
      </c>
      <c r="E643" s="31"/>
      <c r="F643" s="33"/>
    </row>
    <row r="644" spans="1:6" ht="12.3">
      <c r="A644" s="34"/>
      <c r="B644" s="30"/>
      <c r="C644" s="31"/>
      <c r="D644" s="32" t="str">
        <f>IF(ISBLANK(A644)," ",VLOOKUP(A644,'Product Database'!A:B,2,FALSE))</f>
        <v xml:space="preserve"> </v>
      </c>
      <c r="E644" s="31"/>
      <c r="F644" s="33"/>
    </row>
    <row r="645" spans="1:6" ht="12.3">
      <c r="A645" s="34"/>
      <c r="B645" s="30"/>
      <c r="C645" s="31"/>
      <c r="D645" s="32" t="str">
        <f>IF(ISBLANK(A645)," ",VLOOKUP(A645,'Product Database'!A:B,2,FALSE))</f>
        <v xml:space="preserve"> </v>
      </c>
      <c r="E645" s="31"/>
      <c r="F645" s="33"/>
    </row>
    <row r="646" spans="1:6" ht="12.3">
      <c r="A646" s="34"/>
      <c r="B646" s="30"/>
      <c r="C646" s="31"/>
      <c r="D646" s="32" t="str">
        <f>IF(ISBLANK(A646)," ",VLOOKUP(A646,'Product Database'!A:B,2,FALSE))</f>
        <v xml:space="preserve"> </v>
      </c>
      <c r="E646" s="31"/>
      <c r="F646" s="33"/>
    </row>
    <row r="647" spans="1:6" ht="12.3">
      <c r="A647" s="34"/>
      <c r="B647" s="30"/>
      <c r="C647" s="31"/>
      <c r="D647" s="32" t="str">
        <f>IF(ISBLANK(A647)," ",VLOOKUP(A647,'Product Database'!A:B,2,FALSE))</f>
        <v xml:space="preserve"> </v>
      </c>
      <c r="E647" s="31"/>
      <c r="F647" s="33"/>
    </row>
    <row r="648" spans="1:6" ht="12.3">
      <c r="A648" s="34"/>
      <c r="B648" s="30"/>
      <c r="C648" s="31"/>
      <c r="D648" s="32" t="str">
        <f>IF(ISBLANK(A648)," ",VLOOKUP(A648,'Product Database'!A:B,2,FALSE))</f>
        <v xml:space="preserve"> </v>
      </c>
      <c r="E648" s="31"/>
      <c r="F648" s="33"/>
    </row>
    <row r="649" spans="1:6" ht="12.3">
      <c r="A649" s="34"/>
      <c r="B649" s="30"/>
      <c r="C649" s="31"/>
      <c r="D649" s="32" t="str">
        <f>IF(ISBLANK(A649)," ",VLOOKUP(A649,'Product Database'!A:B,2,FALSE))</f>
        <v xml:space="preserve"> </v>
      </c>
      <c r="E649" s="31"/>
      <c r="F649" s="33"/>
    </row>
    <row r="650" spans="1:6" ht="12.3">
      <c r="A650" s="34"/>
      <c r="B650" s="30"/>
      <c r="C650" s="31"/>
      <c r="D650" s="32" t="str">
        <f>IF(ISBLANK(A650)," ",VLOOKUP(A650,'Product Database'!A:B,2,FALSE))</f>
        <v xml:space="preserve"> </v>
      </c>
      <c r="E650" s="31"/>
      <c r="F650" s="33"/>
    </row>
    <row r="651" spans="1:6" ht="12.3">
      <c r="A651" s="34"/>
      <c r="B651" s="30"/>
      <c r="C651" s="31"/>
      <c r="D651" s="32" t="str">
        <f>IF(ISBLANK(A651)," ",VLOOKUP(A651,'Product Database'!A:B,2,FALSE))</f>
        <v xml:space="preserve"> </v>
      </c>
      <c r="E651" s="31"/>
      <c r="F651" s="33"/>
    </row>
    <row r="652" spans="1:6" ht="12.3">
      <c r="A652" s="34"/>
      <c r="B652" s="30"/>
      <c r="C652" s="31"/>
      <c r="D652" s="32" t="str">
        <f>IF(ISBLANK(A652)," ",VLOOKUP(A652,'Product Database'!A:B,2,FALSE))</f>
        <v xml:space="preserve"> </v>
      </c>
      <c r="E652" s="31"/>
      <c r="F652" s="33"/>
    </row>
    <row r="653" spans="1:6" ht="12.3">
      <c r="A653" s="34"/>
      <c r="B653" s="30"/>
      <c r="C653" s="31"/>
      <c r="D653" s="32" t="str">
        <f>IF(ISBLANK(A653)," ",VLOOKUP(A653,'Product Database'!A:B,2,FALSE))</f>
        <v xml:space="preserve"> </v>
      </c>
      <c r="E653" s="31"/>
      <c r="F653" s="33"/>
    </row>
    <row r="654" spans="1:6" ht="12.3">
      <c r="A654" s="34"/>
      <c r="B654" s="30"/>
      <c r="C654" s="31"/>
      <c r="D654" s="32" t="str">
        <f>IF(ISBLANK(A654)," ",VLOOKUP(A654,'Product Database'!A:B,2,FALSE))</f>
        <v xml:space="preserve"> </v>
      </c>
      <c r="E654" s="31"/>
      <c r="F654" s="33"/>
    </row>
    <row r="655" spans="1:6" ht="12.3">
      <c r="A655" s="34"/>
      <c r="B655" s="30"/>
      <c r="C655" s="31"/>
      <c r="D655" s="32" t="str">
        <f>IF(ISBLANK(A655)," ",VLOOKUP(A655,'Product Database'!A:B,2,FALSE))</f>
        <v xml:space="preserve"> </v>
      </c>
      <c r="E655" s="31"/>
      <c r="F655" s="33"/>
    </row>
    <row r="656" spans="1:6" ht="12.3">
      <c r="A656" s="34"/>
      <c r="B656" s="30"/>
      <c r="C656" s="31"/>
      <c r="D656" s="32" t="str">
        <f>IF(ISBLANK(A656)," ",VLOOKUP(A656,'Product Database'!A:B,2,FALSE))</f>
        <v xml:space="preserve"> </v>
      </c>
      <c r="E656" s="31"/>
      <c r="F656" s="33"/>
    </row>
    <row r="657" spans="1:6" ht="12.3">
      <c r="A657" s="34"/>
      <c r="B657" s="30"/>
      <c r="C657" s="31"/>
      <c r="D657" s="32" t="str">
        <f>IF(ISBLANK(A657)," ",VLOOKUP(A657,'Product Database'!A:B,2,FALSE))</f>
        <v xml:space="preserve"> </v>
      </c>
      <c r="E657" s="31"/>
      <c r="F657" s="33"/>
    </row>
    <row r="658" spans="1:6" ht="12.3">
      <c r="A658" s="34"/>
      <c r="B658" s="30"/>
      <c r="C658" s="31"/>
      <c r="D658" s="32" t="str">
        <f>IF(ISBLANK(A658)," ",VLOOKUP(A658,'Product Database'!A:B,2,FALSE))</f>
        <v xml:space="preserve"> </v>
      </c>
      <c r="E658" s="31"/>
      <c r="F658" s="33"/>
    </row>
    <row r="659" spans="1:6" ht="12.3">
      <c r="A659" s="34"/>
      <c r="B659" s="30"/>
      <c r="C659" s="31"/>
      <c r="D659" s="32" t="str">
        <f>IF(ISBLANK(A659)," ",VLOOKUP(A659,'Product Database'!A:B,2,FALSE))</f>
        <v xml:space="preserve"> </v>
      </c>
      <c r="E659" s="31"/>
      <c r="F659" s="33"/>
    </row>
    <row r="660" spans="1:6" ht="12.3">
      <c r="A660" s="34"/>
      <c r="B660" s="30"/>
      <c r="C660" s="31"/>
      <c r="D660" s="32" t="str">
        <f>IF(ISBLANK(A660)," ",VLOOKUP(A660,'Product Database'!A:B,2,FALSE))</f>
        <v xml:space="preserve"> </v>
      </c>
      <c r="E660" s="31"/>
      <c r="F660" s="33"/>
    </row>
    <row r="661" spans="1:6" ht="12.3">
      <c r="A661" s="34"/>
      <c r="B661" s="30"/>
      <c r="C661" s="31"/>
      <c r="D661" s="32" t="str">
        <f>IF(ISBLANK(A661)," ",VLOOKUP(A661,'Product Database'!A:B,2,FALSE))</f>
        <v xml:space="preserve"> </v>
      </c>
      <c r="E661" s="31"/>
      <c r="F661" s="33"/>
    </row>
    <row r="662" spans="1:6" ht="12.3">
      <c r="A662" s="34"/>
      <c r="B662" s="30"/>
      <c r="C662" s="31"/>
      <c r="D662" s="32" t="str">
        <f>IF(ISBLANK(A662)," ",VLOOKUP(A662,'Product Database'!A:B,2,FALSE))</f>
        <v xml:space="preserve"> </v>
      </c>
      <c r="E662" s="31"/>
      <c r="F662" s="33"/>
    </row>
    <row r="663" spans="1:6" ht="12.3">
      <c r="A663" s="34"/>
      <c r="B663" s="30"/>
      <c r="C663" s="31"/>
      <c r="D663" s="32" t="str">
        <f>IF(ISBLANK(A663)," ",VLOOKUP(A663,'Product Database'!A:B,2,FALSE))</f>
        <v xml:space="preserve"> </v>
      </c>
      <c r="E663" s="31"/>
      <c r="F663" s="33"/>
    </row>
    <row r="664" spans="1:6" ht="12.3">
      <c r="A664" s="34"/>
      <c r="B664" s="30"/>
      <c r="C664" s="31"/>
      <c r="D664" s="32" t="str">
        <f>IF(ISBLANK(A664)," ",VLOOKUP(A664,'Product Database'!A:B,2,FALSE))</f>
        <v xml:space="preserve"> </v>
      </c>
      <c r="E664" s="31"/>
      <c r="F664" s="33"/>
    </row>
    <row r="665" spans="1:6" ht="12.3">
      <c r="A665" s="34"/>
      <c r="B665" s="30"/>
      <c r="C665" s="31"/>
      <c r="D665" s="32" t="str">
        <f>IF(ISBLANK(A665)," ",VLOOKUP(A665,'Product Database'!A:B,2,FALSE))</f>
        <v xml:space="preserve"> </v>
      </c>
      <c r="E665" s="31"/>
      <c r="F665" s="33"/>
    </row>
    <row r="666" spans="1:6" ht="12.3">
      <c r="A666" s="34"/>
      <c r="B666" s="30"/>
      <c r="C666" s="31"/>
      <c r="D666" s="32" t="str">
        <f>IF(ISBLANK(A666)," ",VLOOKUP(A666,'Product Database'!A:B,2,FALSE))</f>
        <v xml:space="preserve"> </v>
      </c>
      <c r="E666" s="31"/>
      <c r="F666" s="33"/>
    </row>
    <row r="667" spans="1:6" ht="12.3">
      <c r="A667" s="34"/>
      <c r="B667" s="30"/>
      <c r="C667" s="31"/>
      <c r="D667" s="32" t="str">
        <f>IF(ISBLANK(A667)," ",VLOOKUP(A667,'Product Database'!A:B,2,FALSE))</f>
        <v xml:space="preserve"> </v>
      </c>
      <c r="E667" s="31"/>
      <c r="F667" s="33"/>
    </row>
    <row r="668" spans="1:6" ht="12.3">
      <c r="A668" s="34"/>
      <c r="B668" s="30"/>
      <c r="C668" s="31"/>
      <c r="D668" s="32" t="str">
        <f>IF(ISBLANK(A668)," ",VLOOKUP(A668,'Product Database'!A:B,2,FALSE))</f>
        <v xml:space="preserve"> </v>
      </c>
      <c r="E668" s="31"/>
      <c r="F668" s="33"/>
    </row>
    <row r="669" spans="1:6" ht="12.3">
      <c r="A669" s="34"/>
      <c r="B669" s="30"/>
      <c r="C669" s="31"/>
      <c r="D669" s="32" t="str">
        <f>IF(ISBLANK(A669)," ",VLOOKUP(A669,'Product Database'!A:B,2,FALSE))</f>
        <v xml:space="preserve"> </v>
      </c>
      <c r="E669" s="31"/>
      <c r="F669" s="33"/>
    </row>
    <row r="670" spans="1:6" ht="12.3">
      <c r="A670" s="34"/>
      <c r="B670" s="30"/>
      <c r="C670" s="31"/>
      <c r="D670" s="32" t="str">
        <f>IF(ISBLANK(A670)," ",VLOOKUP(A670,'Product Database'!A:B,2,FALSE))</f>
        <v xml:space="preserve"> </v>
      </c>
      <c r="E670" s="31"/>
      <c r="F670" s="33"/>
    </row>
    <row r="671" spans="1:6" ht="12.3">
      <c r="A671" s="34"/>
      <c r="B671" s="30"/>
      <c r="C671" s="31"/>
      <c r="D671" s="32" t="str">
        <f>IF(ISBLANK(A671)," ",VLOOKUP(A671,'Product Database'!A:B,2,FALSE))</f>
        <v xml:space="preserve"> </v>
      </c>
      <c r="E671" s="31"/>
      <c r="F671" s="33"/>
    </row>
    <row r="672" spans="1:6" ht="12.3">
      <c r="A672" s="34"/>
      <c r="B672" s="30"/>
      <c r="C672" s="31"/>
      <c r="D672" s="32" t="str">
        <f>IF(ISBLANK(A672)," ",VLOOKUP(A672,'Product Database'!A:B,2,FALSE))</f>
        <v xml:space="preserve"> </v>
      </c>
      <c r="E672" s="31"/>
      <c r="F672" s="33"/>
    </row>
    <row r="673" spans="1:6" ht="12.3">
      <c r="A673" s="34"/>
      <c r="B673" s="30"/>
      <c r="C673" s="31"/>
      <c r="D673" s="32" t="str">
        <f>IF(ISBLANK(A673)," ",VLOOKUP(A673,'Product Database'!A:B,2,FALSE))</f>
        <v xml:space="preserve"> </v>
      </c>
      <c r="E673" s="31"/>
      <c r="F673" s="33"/>
    </row>
    <row r="674" spans="1:6" ht="12.3">
      <c r="A674" s="34"/>
      <c r="B674" s="30"/>
      <c r="C674" s="31"/>
      <c r="D674" s="32" t="str">
        <f>IF(ISBLANK(A674)," ",VLOOKUP(A674,'Product Database'!A:B,2,FALSE))</f>
        <v xml:space="preserve"> </v>
      </c>
      <c r="E674" s="31"/>
      <c r="F674" s="33"/>
    </row>
    <row r="675" spans="1:6" ht="12.3">
      <c r="A675" s="34"/>
      <c r="B675" s="30"/>
      <c r="C675" s="31"/>
      <c r="D675" s="32" t="str">
        <f>IF(ISBLANK(A675)," ",VLOOKUP(A675,'Product Database'!A:B,2,FALSE))</f>
        <v xml:space="preserve"> </v>
      </c>
      <c r="E675" s="31"/>
      <c r="F675" s="33"/>
    </row>
    <row r="676" spans="1:6" ht="12.3">
      <c r="A676" s="34"/>
      <c r="B676" s="30"/>
      <c r="C676" s="31"/>
      <c r="D676" s="32" t="str">
        <f>IF(ISBLANK(A676)," ",VLOOKUP(A676,'Product Database'!A:B,2,FALSE))</f>
        <v xml:space="preserve"> </v>
      </c>
      <c r="E676" s="31"/>
      <c r="F676" s="33"/>
    </row>
    <row r="677" spans="1:6" ht="12.3">
      <c r="A677" s="34"/>
      <c r="B677" s="30"/>
      <c r="C677" s="31"/>
      <c r="D677" s="32" t="str">
        <f>IF(ISBLANK(A677)," ",VLOOKUP(A677,'Product Database'!A:B,2,FALSE))</f>
        <v xml:space="preserve"> </v>
      </c>
      <c r="E677" s="31"/>
      <c r="F677" s="33"/>
    </row>
    <row r="678" spans="1:6" ht="12.3">
      <c r="A678" s="34"/>
      <c r="B678" s="30"/>
      <c r="C678" s="31"/>
      <c r="D678" s="32" t="str">
        <f>IF(ISBLANK(A678)," ",VLOOKUP(A678,'Product Database'!A:B,2,FALSE))</f>
        <v xml:space="preserve"> </v>
      </c>
      <c r="E678" s="31"/>
      <c r="F678" s="33"/>
    </row>
    <row r="679" spans="1:6" ht="12.3">
      <c r="A679" s="34"/>
      <c r="B679" s="30"/>
      <c r="C679" s="31"/>
      <c r="D679" s="32" t="str">
        <f>IF(ISBLANK(A679)," ",VLOOKUP(A679,'Product Database'!A:B,2,FALSE))</f>
        <v xml:space="preserve"> </v>
      </c>
      <c r="E679" s="31"/>
      <c r="F679" s="33"/>
    </row>
    <row r="680" spans="1:6" ht="12.3">
      <c r="A680" s="34"/>
      <c r="B680" s="30"/>
      <c r="C680" s="31"/>
      <c r="D680" s="32" t="str">
        <f>IF(ISBLANK(A680)," ",VLOOKUP(A680,'Product Database'!A:B,2,FALSE))</f>
        <v xml:space="preserve"> </v>
      </c>
      <c r="E680" s="31"/>
      <c r="F680" s="33"/>
    </row>
    <row r="681" spans="1:6" ht="12.3">
      <c r="A681" s="34"/>
      <c r="B681" s="30"/>
      <c r="C681" s="31"/>
      <c r="D681" s="32" t="str">
        <f>IF(ISBLANK(A681)," ",VLOOKUP(A681,'Product Database'!A:B,2,FALSE))</f>
        <v xml:space="preserve"> </v>
      </c>
      <c r="E681" s="31"/>
      <c r="F681" s="33"/>
    </row>
    <row r="682" spans="1:6" ht="12.3">
      <c r="A682" s="34"/>
      <c r="B682" s="30"/>
      <c r="C682" s="31"/>
      <c r="D682" s="32" t="str">
        <f>IF(ISBLANK(A682)," ",VLOOKUP(A682,'Product Database'!A:B,2,FALSE))</f>
        <v xml:space="preserve"> </v>
      </c>
      <c r="E682" s="31"/>
      <c r="F682" s="33"/>
    </row>
    <row r="683" spans="1:6" ht="12.3">
      <c r="A683" s="34"/>
      <c r="B683" s="30"/>
      <c r="C683" s="31"/>
      <c r="D683" s="32" t="str">
        <f>IF(ISBLANK(A683)," ",VLOOKUP(A683,'Product Database'!A:B,2,FALSE))</f>
        <v xml:space="preserve"> </v>
      </c>
      <c r="E683" s="31"/>
      <c r="F683" s="33"/>
    </row>
    <row r="684" spans="1:6" ht="12.3">
      <c r="A684" s="34"/>
      <c r="B684" s="30"/>
      <c r="C684" s="31"/>
      <c r="D684" s="32" t="str">
        <f>IF(ISBLANK(A684)," ",VLOOKUP(A684,'Product Database'!A:B,2,FALSE))</f>
        <v xml:space="preserve"> </v>
      </c>
      <c r="E684" s="31"/>
      <c r="F684" s="33"/>
    </row>
    <row r="685" spans="1:6" ht="12.3">
      <c r="A685" s="34"/>
      <c r="B685" s="30"/>
      <c r="C685" s="31"/>
      <c r="D685" s="32" t="str">
        <f>IF(ISBLANK(A685)," ",VLOOKUP(A685,'Product Database'!A:B,2,FALSE))</f>
        <v xml:space="preserve"> </v>
      </c>
      <c r="E685" s="31"/>
      <c r="F685" s="33"/>
    </row>
    <row r="686" spans="1:6" ht="12.3">
      <c r="A686" s="34"/>
      <c r="B686" s="30"/>
      <c r="C686" s="31"/>
      <c r="D686" s="32" t="str">
        <f>IF(ISBLANK(A686)," ",VLOOKUP(A686,'Product Database'!A:B,2,FALSE))</f>
        <v xml:space="preserve"> </v>
      </c>
      <c r="E686" s="31"/>
      <c r="F686" s="33"/>
    </row>
    <row r="687" spans="1:6" ht="12.3">
      <c r="A687" s="34"/>
      <c r="B687" s="30"/>
      <c r="C687" s="31"/>
      <c r="D687" s="32" t="str">
        <f>IF(ISBLANK(A687)," ",VLOOKUP(A687,'Product Database'!A:B,2,FALSE))</f>
        <v xml:space="preserve"> </v>
      </c>
      <c r="E687" s="31"/>
      <c r="F687" s="33"/>
    </row>
    <row r="688" spans="1:6" ht="12.3">
      <c r="A688" s="34"/>
      <c r="B688" s="30"/>
      <c r="C688" s="31"/>
      <c r="D688" s="32" t="str">
        <f>IF(ISBLANK(A688)," ",VLOOKUP(A688,'Product Database'!A:B,2,FALSE))</f>
        <v xml:space="preserve"> </v>
      </c>
      <c r="E688" s="31"/>
      <c r="F688" s="33"/>
    </row>
    <row r="689" spans="1:6" ht="12.3">
      <c r="A689" s="34"/>
      <c r="B689" s="30"/>
      <c r="C689" s="31"/>
      <c r="D689" s="32" t="str">
        <f>IF(ISBLANK(A689)," ",VLOOKUP(A689,'Product Database'!A:B,2,FALSE))</f>
        <v xml:space="preserve"> </v>
      </c>
      <c r="E689" s="31"/>
      <c r="F689" s="33"/>
    </row>
    <row r="690" spans="1:6" ht="12.3">
      <c r="A690" s="34"/>
      <c r="B690" s="30"/>
      <c r="C690" s="31"/>
      <c r="D690" s="32" t="str">
        <f>IF(ISBLANK(A690)," ",VLOOKUP(A690,'Product Database'!A:B,2,FALSE))</f>
        <v xml:space="preserve"> </v>
      </c>
      <c r="E690" s="31"/>
      <c r="F690" s="33"/>
    </row>
    <row r="691" spans="1:6" ht="12.3">
      <c r="A691" s="34"/>
      <c r="B691" s="30"/>
      <c r="C691" s="31"/>
      <c r="D691" s="32" t="str">
        <f>IF(ISBLANK(A691)," ",VLOOKUP(A691,'Product Database'!A:B,2,FALSE))</f>
        <v xml:space="preserve"> </v>
      </c>
      <c r="E691" s="31"/>
      <c r="F691" s="33"/>
    </row>
    <row r="692" spans="1:6" ht="12.3">
      <c r="A692" s="34"/>
      <c r="B692" s="30"/>
      <c r="C692" s="31"/>
      <c r="D692" s="32" t="str">
        <f>IF(ISBLANK(A692)," ",VLOOKUP(A692,'Product Database'!A:B,2,FALSE))</f>
        <v xml:space="preserve"> </v>
      </c>
      <c r="E692" s="31"/>
      <c r="F692" s="33"/>
    </row>
    <row r="693" spans="1:6" ht="12.3">
      <c r="A693" s="34"/>
      <c r="B693" s="30"/>
      <c r="C693" s="31"/>
      <c r="D693" s="32" t="str">
        <f>IF(ISBLANK(A693)," ",VLOOKUP(A693,'Product Database'!A:B,2,FALSE))</f>
        <v xml:space="preserve"> </v>
      </c>
      <c r="E693" s="31"/>
      <c r="F693" s="33"/>
    </row>
    <row r="694" spans="1:6" ht="12.3">
      <c r="A694" s="34"/>
      <c r="B694" s="30"/>
      <c r="C694" s="31"/>
      <c r="D694" s="32" t="str">
        <f>IF(ISBLANK(A694)," ",VLOOKUP(A694,'Product Database'!A:B,2,FALSE))</f>
        <v xml:space="preserve"> </v>
      </c>
      <c r="E694" s="31"/>
      <c r="F694" s="33"/>
    </row>
    <row r="695" spans="1:6" ht="12.3">
      <c r="A695" s="34"/>
      <c r="B695" s="30"/>
      <c r="C695" s="31"/>
      <c r="D695" s="32" t="str">
        <f>IF(ISBLANK(A695)," ",VLOOKUP(A695,'Product Database'!A:B,2,FALSE))</f>
        <v xml:space="preserve"> </v>
      </c>
      <c r="E695" s="31"/>
      <c r="F695" s="33"/>
    </row>
    <row r="696" spans="1:6" ht="12.3">
      <c r="A696" s="34"/>
      <c r="B696" s="30"/>
      <c r="C696" s="31"/>
      <c r="D696" s="32" t="str">
        <f>IF(ISBLANK(A696)," ",VLOOKUP(A696,'Product Database'!A:B,2,FALSE))</f>
        <v xml:space="preserve"> </v>
      </c>
      <c r="E696" s="31"/>
      <c r="F696" s="33"/>
    </row>
    <row r="697" spans="1:6" ht="12.3">
      <c r="A697" s="34"/>
      <c r="B697" s="30"/>
      <c r="C697" s="31"/>
      <c r="D697" s="32" t="str">
        <f>IF(ISBLANK(A697)," ",VLOOKUP(A697,'Product Database'!A:B,2,FALSE))</f>
        <v xml:space="preserve"> </v>
      </c>
      <c r="E697" s="31"/>
      <c r="F697" s="33"/>
    </row>
    <row r="698" spans="1:6" ht="12.3">
      <c r="A698" s="34"/>
      <c r="B698" s="30"/>
      <c r="C698" s="31"/>
      <c r="D698" s="32" t="str">
        <f>IF(ISBLANK(A698)," ",VLOOKUP(A698,'Product Database'!A:B,2,FALSE))</f>
        <v xml:space="preserve"> </v>
      </c>
      <c r="E698" s="31"/>
      <c r="F698" s="33"/>
    </row>
    <row r="699" spans="1:6" ht="12.3">
      <c r="A699" s="34"/>
      <c r="B699" s="30"/>
      <c r="C699" s="31"/>
      <c r="D699" s="32" t="str">
        <f>IF(ISBLANK(A699)," ",VLOOKUP(A699,'Product Database'!A:B,2,FALSE))</f>
        <v xml:space="preserve"> </v>
      </c>
      <c r="E699" s="31"/>
      <c r="F699" s="33"/>
    </row>
    <row r="700" spans="1:6" ht="12.3">
      <c r="A700" s="34"/>
      <c r="B700" s="30"/>
      <c r="C700" s="31"/>
      <c r="D700" s="32" t="str">
        <f>IF(ISBLANK(A700)," ",VLOOKUP(A700,'Product Database'!A:B,2,FALSE))</f>
        <v xml:space="preserve"> </v>
      </c>
      <c r="E700" s="31"/>
      <c r="F700" s="33"/>
    </row>
    <row r="701" spans="1:6" ht="12.3">
      <c r="A701" s="34"/>
      <c r="B701" s="30"/>
      <c r="C701" s="31"/>
      <c r="D701" s="32" t="str">
        <f>IF(ISBLANK(A701)," ",VLOOKUP(A701,'Product Database'!A:B,2,FALSE))</f>
        <v xml:space="preserve"> </v>
      </c>
      <c r="E701" s="31"/>
      <c r="F701" s="33"/>
    </row>
    <row r="702" spans="1:6" ht="12.3">
      <c r="A702" s="34"/>
      <c r="B702" s="30"/>
      <c r="C702" s="31"/>
      <c r="D702" s="32" t="str">
        <f>IF(ISBLANK(A702)," ",VLOOKUP(A702,'Product Database'!A:B,2,FALSE))</f>
        <v xml:space="preserve"> </v>
      </c>
      <c r="E702" s="31"/>
      <c r="F702" s="33"/>
    </row>
    <row r="703" spans="1:6" ht="12.3">
      <c r="A703" s="34"/>
      <c r="B703" s="30"/>
      <c r="C703" s="31"/>
      <c r="D703" s="32" t="str">
        <f>IF(ISBLANK(A703)," ",VLOOKUP(A703,'Product Database'!A:B,2,FALSE))</f>
        <v xml:space="preserve"> </v>
      </c>
      <c r="E703" s="31"/>
      <c r="F703" s="33"/>
    </row>
    <row r="704" spans="1:6" ht="12.3">
      <c r="A704" s="34"/>
      <c r="B704" s="30"/>
      <c r="C704" s="31"/>
      <c r="D704" s="32" t="str">
        <f>IF(ISBLANK(A704)," ",VLOOKUP(A704,'Product Database'!A:B,2,FALSE))</f>
        <v xml:space="preserve"> </v>
      </c>
      <c r="E704" s="31"/>
      <c r="F704" s="33"/>
    </row>
    <row r="705" spans="1:6" ht="12.3">
      <c r="A705" s="34"/>
      <c r="B705" s="30"/>
      <c r="C705" s="31"/>
      <c r="D705" s="32" t="str">
        <f>IF(ISBLANK(A705)," ",VLOOKUP(A705,'Product Database'!A:B,2,FALSE))</f>
        <v xml:space="preserve"> </v>
      </c>
      <c r="E705" s="31"/>
      <c r="F705" s="33"/>
    </row>
    <row r="706" spans="1:6" ht="12.3">
      <c r="A706" s="34"/>
      <c r="B706" s="30"/>
      <c r="C706" s="31"/>
      <c r="D706" s="32" t="str">
        <f>IF(ISBLANK(A706)," ",VLOOKUP(A706,'Product Database'!A:B,2,FALSE))</f>
        <v xml:space="preserve"> </v>
      </c>
      <c r="E706" s="31"/>
      <c r="F706" s="33"/>
    </row>
    <row r="707" spans="1:6" ht="12.3">
      <c r="A707" s="34"/>
      <c r="B707" s="30"/>
      <c r="C707" s="31"/>
      <c r="D707" s="32" t="str">
        <f>IF(ISBLANK(A707)," ",VLOOKUP(A707,'Product Database'!A:B,2,FALSE))</f>
        <v xml:space="preserve"> </v>
      </c>
      <c r="E707" s="31"/>
      <c r="F707" s="33"/>
    </row>
    <row r="708" spans="1:6" ht="12.3">
      <c r="A708" s="34"/>
      <c r="B708" s="30"/>
      <c r="C708" s="31"/>
      <c r="D708" s="32" t="str">
        <f>IF(ISBLANK(A708)," ",VLOOKUP(A708,'Product Database'!A:B,2,FALSE))</f>
        <v xml:space="preserve"> </v>
      </c>
      <c r="E708" s="31"/>
      <c r="F708" s="33"/>
    </row>
    <row r="709" spans="1:6" ht="12.3">
      <c r="A709" s="34"/>
      <c r="B709" s="30"/>
      <c r="C709" s="31"/>
      <c r="D709" s="32" t="str">
        <f>IF(ISBLANK(A709)," ",VLOOKUP(A709,'Product Database'!A:B,2,FALSE))</f>
        <v xml:space="preserve"> </v>
      </c>
      <c r="E709" s="31"/>
      <c r="F709" s="33"/>
    </row>
    <row r="710" spans="1:6" ht="12.3">
      <c r="A710" s="34"/>
      <c r="B710" s="30"/>
      <c r="C710" s="31"/>
      <c r="D710" s="32" t="str">
        <f>IF(ISBLANK(A710)," ",VLOOKUP(A710,'Product Database'!A:B,2,FALSE))</f>
        <v xml:space="preserve"> </v>
      </c>
      <c r="E710" s="31"/>
      <c r="F710" s="33"/>
    </row>
    <row r="711" spans="1:6" ht="12.3">
      <c r="A711" s="34"/>
      <c r="B711" s="30"/>
      <c r="C711" s="31"/>
      <c r="D711" s="32" t="str">
        <f>IF(ISBLANK(A711)," ",VLOOKUP(A711,'Product Database'!A:B,2,FALSE))</f>
        <v xml:space="preserve"> </v>
      </c>
      <c r="E711" s="31"/>
      <c r="F711" s="33"/>
    </row>
    <row r="712" spans="1:6" ht="12.3">
      <c r="A712" s="34"/>
      <c r="B712" s="30"/>
      <c r="C712" s="31"/>
      <c r="D712" s="32" t="str">
        <f>IF(ISBLANK(A712)," ",VLOOKUP(A712,'Product Database'!A:B,2,FALSE))</f>
        <v xml:space="preserve"> </v>
      </c>
      <c r="E712" s="31"/>
      <c r="F712" s="33"/>
    </row>
    <row r="713" spans="1:6" ht="12.3">
      <c r="A713" s="34"/>
      <c r="B713" s="30"/>
      <c r="C713" s="31"/>
      <c r="D713" s="32" t="str">
        <f>IF(ISBLANK(A713)," ",VLOOKUP(A713,'Product Database'!A:B,2,FALSE))</f>
        <v xml:space="preserve"> </v>
      </c>
      <c r="E713" s="31"/>
      <c r="F713" s="33"/>
    </row>
    <row r="714" spans="1:6" ht="12.3">
      <c r="A714" s="34"/>
      <c r="B714" s="30"/>
      <c r="C714" s="31"/>
      <c r="D714" s="32" t="str">
        <f>IF(ISBLANK(A714)," ",VLOOKUP(A714,'Product Database'!A:B,2,FALSE))</f>
        <v xml:space="preserve"> </v>
      </c>
      <c r="E714" s="31"/>
      <c r="F714" s="33"/>
    </row>
    <row r="715" spans="1:6" ht="12.3">
      <c r="A715" s="34"/>
      <c r="B715" s="30"/>
      <c r="C715" s="31"/>
      <c r="D715" s="32" t="str">
        <f>IF(ISBLANK(A715)," ",VLOOKUP(A715,'Product Database'!A:B,2,FALSE))</f>
        <v xml:space="preserve"> </v>
      </c>
      <c r="E715" s="31"/>
      <c r="F715" s="33"/>
    </row>
    <row r="716" spans="1:6" ht="12.3">
      <c r="A716" s="34"/>
      <c r="B716" s="30"/>
      <c r="C716" s="31"/>
      <c r="D716" s="32" t="str">
        <f>IF(ISBLANK(A716)," ",VLOOKUP(A716,'Product Database'!A:B,2,FALSE))</f>
        <v xml:space="preserve"> </v>
      </c>
      <c r="E716" s="31"/>
      <c r="F716" s="33"/>
    </row>
    <row r="717" spans="1:6" ht="12.3">
      <c r="A717" s="34"/>
      <c r="B717" s="30"/>
      <c r="C717" s="31"/>
      <c r="D717" s="32" t="str">
        <f>IF(ISBLANK(A717)," ",VLOOKUP(A717,'Product Database'!A:B,2,FALSE))</f>
        <v xml:space="preserve"> </v>
      </c>
      <c r="E717" s="31"/>
      <c r="F717" s="33"/>
    </row>
    <row r="718" spans="1:6" ht="12.3">
      <c r="A718" s="34"/>
      <c r="B718" s="30"/>
      <c r="C718" s="31"/>
      <c r="D718" s="32" t="str">
        <f>IF(ISBLANK(A718)," ",VLOOKUP(A718,'Product Database'!A:B,2,FALSE))</f>
        <v xml:space="preserve"> </v>
      </c>
      <c r="E718" s="31"/>
      <c r="F718" s="33"/>
    </row>
    <row r="719" spans="1:6" ht="12.3">
      <c r="A719" s="34"/>
      <c r="B719" s="30"/>
      <c r="C719" s="31"/>
      <c r="D719" s="32" t="str">
        <f>IF(ISBLANK(A719)," ",VLOOKUP(A719,'Product Database'!A:B,2,FALSE))</f>
        <v xml:space="preserve"> </v>
      </c>
      <c r="E719" s="31"/>
      <c r="F719" s="33"/>
    </row>
    <row r="720" spans="1:6" ht="12.3">
      <c r="A720" s="34"/>
      <c r="B720" s="30"/>
      <c r="C720" s="31"/>
      <c r="D720" s="32" t="str">
        <f>IF(ISBLANK(A720)," ",VLOOKUP(A720,'Product Database'!A:B,2,FALSE))</f>
        <v xml:space="preserve"> </v>
      </c>
      <c r="E720" s="31"/>
      <c r="F720" s="33"/>
    </row>
    <row r="721" spans="1:6" ht="12.3">
      <c r="A721" s="34"/>
      <c r="B721" s="30"/>
      <c r="C721" s="31"/>
      <c r="D721" s="32" t="str">
        <f>IF(ISBLANK(A721)," ",VLOOKUP(A721,'Product Database'!A:B,2,FALSE))</f>
        <v xml:space="preserve"> </v>
      </c>
      <c r="E721" s="31"/>
      <c r="F721" s="33"/>
    </row>
    <row r="722" spans="1:6" ht="12.3">
      <c r="A722" s="34"/>
      <c r="B722" s="30"/>
      <c r="C722" s="31"/>
      <c r="D722" s="32" t="str">
        <f>IF(ISBLANK(A722)," ",VLOOKUP(A722,'Product Database'!A:B,2,FALSE))</f>
        <v xml:space="preserve"> </v>
      </c>
      <c r="E722" s="31"/>
      <c r="F722" s="33"/>
    </row>
    <row r="723" spans="1:6" ht="12.3">
      <c r="A723" s="34"/>
      <c r="B723" s="30"/>
      <c r="C723" s="31"/>
      <c r="D723" s="32" t="str">
        <f>IF(ISBLANK(A723)," ",VLOOKUP(A723,'Product Database'!A:B,2,FALSE))</f>
        <v xml:space="preserve"> </v>
      </c>
      <c r="E723" s="31"/>
      <c r="F723" s="33"/>
    </row>
    <row r="724" spans="1:6" ht="12.3">
      <c r="A724" s="34"/>
      <c r="B724" s="30"/>
      <c r="C724" s="31"/>
      <c r="D724" s="32" t="str">
        <f>IF(ISBLANK(A724)," ",VLOOKUP(A724,'Product Database'!A:B,2,FALSE))</f>
        <v xml:space="preserve"> </v>
      </c>
      <c r="E724" s="31"/>
      <c r="F724" s="33"/>
    </row>
    <row r="725" spans="1:6" ht="12.3">
      <c r="A725" s="34"/>
      <c r="B725" s="30"/>
      <c r="C725" s="31"/>
      <c r="D725" s="32" t="str">
        <f>IF(ISBLANK(A725)," ",VLOOKUP(A725,'Product Database'!A:B,2,FALSE))</f>
        <v xml:space="preserve"> </v>
      </c>
      <c r="E725" s="31"/>
      <c r="F725" s="33"/>
    </row>
    <row r="726" spans="1:6" ht="12.3">
      <c r="A726" s="34"/>
      <c r="B726" s="30"/>
      <c r="C726" s="31"/>
      <c r="D726" s="32" t="str">
        <f>IF(ISBLANK(A726)," ",VLOOKUP(A726,'Product Database'!A:B,2,FALSE))</f>
        <v xml:space="preserve"> </v>
      </c>
      <c r="E726" s="31"/>
      <c r="F726" s="33"/>
    </row>
    <row r="727" spans="1:6" ht="12.3">
      <c r="A727" s="34"/>
      <c r="B727" s="30"/>
      <c r="C727" s="31"/>
      <c r="D727" s="32" t="str">
        <f>IF(ISBLANK(A727)," ",VLOOKUP(A727,'Product Database'!A:B,2,FALSE))</f>
        <v xml:space="preserve"> </v>
      </c>
      <c r="E727" s="31"/>
      <c r="F727" s="33"/>
    </row>
    <row r="728" spans="1:6" ht="12.3">
      <c r="A728" s="34"/>
      <c r="B728" s="30"/>
      <c r="C728" s="31"/>
      <c r="D728" s="32" t="str">
        <f>IF(ISBLANK(A728)," ",VLOOKUP(A728,'Product Database'!A:B,2,FALSE))</f>
        <v xml:space="preserve"> </v>
      </c>
      <c r="E728" s="31"/>
      <c r="F728" s="33"/>
    </row>
    <row r="729" spans="1:6" ht="12.3">
      <c r="A729" s="34"/>
      <c r="B729" s="30"/>
      <c r="C729" s="31"/>
      <c r="D729" s="32" t="str">
        <f>IF(ISBLANK(A729)," ",VLOOKUP(A729,'Product Database'!A:B,2,FALSE))</f>
        <v xml:space="preserve"> </v>
      </c>
      <c r="E729" s="31"/>
      <c r="F729" s="33"/>
    </row>
    <row r="730" spans="1:6" ht="12.3">
      <c r="A730" s="34"/>
      <c r="B730" s="30"/>
      <c r="C730" s="31"/>
      <c r="D730" s="32" t="str">
        <f>IF(ISBLANK(A730)," ",VLOOKUP(A730,'Product Database'!A:B,2,FALSE))</f>
        <v xml:space="preserve"> </v>
      </c>
      <c r="E730" s="31"/>
      <c r="F730" s="33"/>
    </row>
    <row r="731" spans="1:6" ht="12.3">
      <c r="A731" s="34"/>
      <c r="B731" s="30"/>
      <c r="C731" s="31"/>
      <c r="D731" s="32" t="str">
        <f>IF(ISBLANK(A731)," ",VLOOKUP(A731,'Product Database'!A:B,2,FALSE))</f>
        <v xml:space="preserve"> </v>
      </c>
      <c r="E731" s="31"/>
      <c r="F731" s="33"/>
    </row>
    <row r="732" spans="1:6" ht="12.3">
      <c r="A732" s="34"/>
      <c r="B732" s="30"/>
      <c r="C732" s="31"/>
      <c r="D732" s="32" t="str">
        <f>IF(ISBLANK(A732)," ",VLOOKUP(A732,'Product Database'!A:B,2,FALSE))</f>
        <v xml:space="preserve"> </v>
      </c>
      <c r="E732" s="31"/>
      <c r="F732" s="33"/>
    </row>
    <row r="733" spans="1:6" ht="12.3">
      <c r="A733" s="34"/>
      <c r="B733" s="30"/>
      <c r="C733" s="31"/>
      <c r="D733" s="32" t="str">
        <f>IF(ISBLANK(A733)," ",VLOOKUP(A733,'Product Database'!A:B,2,FALSE))</f>
        <v xml:space="preserve"> </v>
      </c>
      <c r="E733" s="31"/>
      <c r="F733" s="33"/>
    </row>
    <row r="734" spans="1:6" ht="12.3">
      <c r="A734" s="34"/>
      <c r="B734" s="30"/>
      <c r="C734" s="31"/>
      <c r="D734" s="32" t="str">
        <f>IF(ISBLANK(A734)," ",VLOOKUP(A734,'Product Database'!A:B,2,FALSE))</f>
        <v xml:space="preserve"> </v>
      </c>
      <c r="E734" s="31"/>
      <c r="F734" s="33"/>
    </row>
    <row r="735" spans="1:6" ht="12.3">
      <c r="A735" s="34"/>
      <c r="B735" s="30"/>
      <c r="C735" s="31"/>
      <c r="D735" s="32" t="str">
        <f>IF(ISBLANK(A735)," ",VLOOKUP(A735,'Product Database'!A:B,2,FALSE))</f>
        <v xml:space="preserve"> </v>
      </c>
      <c r="E735" s="31"/>
      <c r="F735" s="33"/>
    </row>
    <row r="736" spans="1:6" ht="12.3">
      <c r="A736" s="34"/>
      <c r="B736" s="30"/>
      <c r="C736" s="31"/>
      <c r="D736" s="32" t="str">
        <f>IF(ISBLANK(A736)," ",VLOOKUP(A736,'Product Database'!A:B,2,FALSE))</f>
        <v xml:space="preserve"> </v>
      </c>
      <c r="E736" s="31"/>
      <c r="F736" s="33"/>
    </row>
    <row r="737" spans="1:6" ht="12.3">
      <c r="A737" s="34"/>
      <c r="B737" s="30"/>
      <c r="C737" s="31"/>
      <c r="D737" s="32" t="str">
        <f>IF(ISBLANK(A737)," ",VLOOKUP(A737,'Product Database'!A:B,2,FALSE))</f>
        <v xml:space="preserve"> </v>
      </c>
      <c r="E737" s="31"/>
      <c r="F737" s="33"/>
    </row>
    <row r="738" spans="1:6" ht="12.3">
      <c r="A738" s="34"/>
      <c r="B738" s="30"/>
      <c r="C738" s="31"/>
      <c r="D738" s="32" t="str">
        <f>IF(ISBLANK(A738)," ",VLOOKUP(A738,'Product Database'!A:B,2,FALSE))</f>
        <v xml:space="preserve"> </v>
      </c>
      <c r="E738" s="31"/>
      <c r="F738" s="33"/>
    </row>
    <row r="739" spans="1:6" ht="12.3">
      <c r="A739" s="34"/>
      <c r="B739" s="30"/>
      <c r="C739" s="31"/>
      <c r="D739" s="32" t="str">
        <f>IF(ISBLANK(A739)," ",VLOOKUP(A739,'Product Database'!A:B,2,FALSE))</f>
        <v xml:space="preserve"> </v>
      </c>
      <c r="E739" s="31"/>
      <c r="F739" s="33"/>
    </row>
    <row r="740" spans="1:6" ht="12.3">
      <c r="A740" s="34"/>
      <c r="B740" s="30"/>
      <c r="C740" s="31"/>
      <c r="D740" s="32" t="str">
        <f>IF(ISBLANK(A740)," ",VLOOKUP(A740,'Product Database'!A:B,2,FALSE))</f>
        <v xml:space="preserve"> </v>
      </c>
      <c r="E740" s="31"/>
      <c r="F740" s="33"/>
    </row>
    <row r="741" spans="1:6" ht="12.3">
      <c r="A741" s="34"/>
      <c r="B741" s="30"/>
      <c r="C741" s="31"/>
      <c r="D741" s="32" t="str">
        <f>IF(ISBLANK(A741)," ",VLOOKUP(A741,'Product Database'!A:B,2,FALSE))</f>
        <v xml:space="preserve"> </v>
      </c>
      <c r="E741" s="31"/>
      <c r="F741" s="33"/>
    </row>
    <row r="742" spans="1:6" ht="12.3">
      <c r="A742" s="34"/>
      <c r="B742" s="30"/>
      <c r="C742" s="31"/>
      <c r="D742" s="32" t="str">
        <f>IF(ISBLANK(A742)," ",VLOOKUP(A742,'Product Database'!A:B,2,FALSE))</f>
        <v xml:space="preserve"> </v>
      </c>
      <c r="E742" s="31"/>
      <c r="F742" s="33"/>
    </row>
    <row r="743" spans="1:6" ht="12.3">
      <c r="A743" s="34"/>
      <c r="B743" s="30"/>
      <c r="C743" s="31"/>
      <c r="D743" s="32" t="str">
        <f>IF(ISBLANK(A743)," ",VLOOKUP(A743,'Product Database'!A:B,2,FALSE))</f>
        <v xml:space="preserve"> </v>
      </c>
      <c r="E743" s="31"/>
      <c r="F743" s="33"/>
    </row>
    <row r="744" spans="1:6" ht="12.3">
      <c r="A744" s="34"/>
      <c r="B744" s="30"/>
      <c r="C744" s="31"/>
      <c r="D744" s="32" t="str">
        <f>IF(ISBLANK(A744)," ",VLOOKUP(A744,'Product Database'!A:B,2,FALSE))</f>
        <v xml:space="preserve"> </v>
      </c>
      <c r="E744" s="31"/>
      <c r="F744" s="33"/>
    </row>
    <row r="745" spans="1:6" ht="12.3">
      <c r="A745" s="34"/>
      <c r="B745" s="30"/>
      <c r="C745" s="31"/>
      <c r="D745" s="32" t="str">
        <f>IF(ISBLANK(A745)," ",VLOOKUP(A745,'Product Database'!A:B,2,FALSE))</f>
        <v xml:space="preserve"> </v>
      </c>
      <c r="E745" s="31"/>
      <c r="F745" s="33"/>
    </row>
    <row r="746" spans="1:6" ht="12.3">
      <c r="A746" s="34"/>
      <c r="B746" s="30"/>
      <c r="C746" s="31"/>
      <c r="D746" s="32" t="str">
        <f>IF(ISBLANK(A746)," ",VLOOKUP(A746,'Product Database'!A:B,2,FALSE))</f>
        <v xml:space="preserve"> </v>
      </c>
      <c r="E746" s="31"/>
      <c r="F746" s="33"/>
    </row>
    <row r="747" spans="1:6" ht="12.3">
      <c r="A747" s="34"/>
      <c r="B747" s="30"/>
      <c r="C747" s="31"/>
      <c r="D747" s="32" t="str">
        <f>IF(ISBLANK(A747)," ",VLOOKUP(A747,'Product Database'!A:B,2,FALSE))</f>
        <v xml:space="preserve"> </v>
      </c>
      <c r="E747" s="31"/>
      <c r="F747" s="33"/>
    </row>
    <row r="748" spans="1:6" ht="12.3">
      <c r="A748" s="34"/>
      <c r="B748" s="30"/>
      <c r="C748" s="31"/>
      <c r="D748" s="32" t="str">
        <f>IF(ISBLANK(A748)," ",VLOOKUP(A748,'Product Database'!A:B,2,FALSE))</f>
        <v xml:space="preserve"> </v>
      </c>
      <c r="E748" s="31"/>
      <c r="F748" s="33"/>
    </row>
    <row r="749" spans="1:6" ht="12.3">
      <c r="A749" s="34"/>
      <c r="B749" s="30"/>
      <c r="C749" s="31"/>
      <c r="D749" s="32" t="str">
        <f>IF(ISBLANK(A749)," ",VLOOKUP(A749,'Product Database'!A:B,2,FALSE))</f>
        <v xml:space="preserve"> </v>
      </c>
      <c r="E749" s="31"/>
      <c r="F749" s="33"/>
    </row>
    <row r="750" spans="1:6" ht="12.3">
      <c r="A750" s="34"/>
      <c r="B750" s="30"/>
      <c r="C750" s="31"/>
      <c r="D750" s="32" t="str">
        <f>IF(ISBLANK(A750)," ",VLOOKUP(A750,'Product Database'!A:B,2,FALSE))</f>
        <v xml:space="preserve"> </v>
      </c>
      <c r="E750" s="31"/>
      <c r="F750" s="33"/>
    </row>
    <row r="751" spans="1:6" ht="12.3">
      <c r="A751" s="34"/>
      <c r="B751" s="30"/>
      <c r="C751" s="31"/>
      <c r="D751" s="32" t="str">
        <f>IF(ISBLANK(A751)," ",VLOOKUP(A751,'Product Database'!A:B,2,FALSE))</f>
        <v xml:space="preserve"> </v>
      </c>
      <c r="E751" s="31"/>
      <c r="F751" s="33"/>
    </row>
    <row r="752" spans="1:6" ht="12.3">
      <c r="A752" s="34"/>
      <c r="B752" s="30"/>
      <c r="C752" s="31"/>
      <c r="D752" s="32" t="str">
        <f>IF(ISBLANK(A752)," ",VLOOKUP(A752,'Product Database'!A:B,2,FALSE))</f>
        <v xml:space="preserve"> </v>
      </c>
      <c r="E752" s="31"/>
      <c r="F752" s="33"/>
    </row>
    <row r="753" spans="1:6" ht="12.3">
      <c r="A753" s="34"/>
      <c r="B753" s="30"/>
      <c r="C753" s="31"/>
      <c r="D753" s="32" t="str">
        <f>IF(ISBLANK(A753)," ",VLOOKUP(A753,'Product Database'!A:B,2,FALSE))</f>
        <v xml:space="preserve"> </v>
      </c>
      <c r="E753" s="31"/>
      <c r="F753" s="33"/>
    </row>
    <row r="754" spans="1:6" ht="12.3">
      <c r="A754" s="34"/>
      <c r="B754" s="30"/>
      <c r="C754" s="31"/>
      <c r="D754" s="32" t="str">
        <f>IF(ISBLANK(A754)," ",VLOOKUP(A754,'Product Database'!A:B,2,FALSE))</f>
        <v xml:space="preserve"> </v>
      </c>
      <c r="E754" s="31"/>
      <c r="F754" s="33"/>
    </row>
    <row r="755" spans="1:6" ht="12.3">
      <c r="A755" s="34"/>
      <c r="B755" s="30"/>
      <c r="C755" s="31"/>
      <c r="D755" s="32" t="str">
        <f>IF(ISBLANK(A755)," ",VLOOKUP(A755,'Product Database'!A:B,2,FALSE))</f>
        <v xml:space="preserve"> </v>
      </c>
      <c r="E755" s="31"/>
      <c r="F755" s="33"/>
    </row>
    <row r="756" spans="1:6" ht="12.3">
      <c r="A756" s="34"/>
      <c r="B756" s="30"/>
      <c r="C756" s="31"/>
      <c r="D756" s="32" t="str">
        <f>IF(ISBLANK(A756)," ",VLOOKUP(A756,'Product Database'!A:B,2,FALSE))</f>
        <v xml:space="preserve"> </v>
      </c>
      <c r="E756" s="31"/>
      <c r="F756" s="33"/>
    </row>
    <row r="757" spans="1:6" ht="12.3">
      <c r="A757" s="34"/>
      <c r="B757" s="30"/>
      <c r="C757" s="31"/>
      <c r="D757" s="32" t="str">
        <f>IF(ISBLANK(A757)," ",VLOOKUP(A757,'Product Database'!A:B,2,FALSE))</f>
        <v xml:space="preserve"> </v>
      </c>
      <c r="E757" s="31"/>
      <c r="F757" s="33"/>
    </row>
    <row r="758" spans="1:6" ht="12.3">
      <c r="A758" s="34"/>
      <c r="B758" s="30"/>
      <c r="C758" s="31"/>
      <c r="D758" s="32" t="str">
        <f>IF(ISBLANK(A758)," ",VLOOKUP(A758,'Product Database'!A:B,2,FALSE))</f>
        <v xml:space="preserve"> </v>
      </c>
      <c r="E758" s="31"/>
      <c r="F758" s="33"/>
    </row>
    <row r="759" spans="1:6" ht="12.3">
      <c r="A759" s="34"/>
      <c r="B759" s="30"/>
      <c r="C759" s="31"/>
      <c r="D759" s="32" t="str">
        <f>IF(ISBLANK(A759)," ",VLOOKUP(A759,'Product Database'!A:B,2,FALSE))</f>
        <v xml:space="preserve"> </v>
      </c>
      <c r="E759" s="31"/>
      <c r="F759" s="33"/>
    </row>
    <row r="760" spans="1:6" ht="12.3">
      <c r="A760" s="34"/>
      <c r="B760" s="30"/>
      <c r="C760" s="31"/>
      <c r="D760" s="32" t="str">
        <f>IF(ISBLANK(A760)," ",VLOOKUP(A760,'Product Database'!A:B,2,FALSE))</f>
        <v xml:space="preserve"> </v>
      </c>
      <c r="E760" s="31"/>
      <c r="F760" s="33"/>
    </row>
    <row r="761" spans="1:6" ht="12.3">
      <c r="A761" s="34"/>
      <c r="B761" s="30"/>
      <c r="C761" s="31"/>
      <c r="D761" s="32" t="str">
        <f>IF(ISBLANK(A761)," ",VLOOKUP(A761,'Product Database'!A:B,2,FALSE))</f>
        <v xml:space="preserve"> </v>
      </c>
      <c r="E761" s="31"/>
      <c r="F761" s="33"/>
    </row>
    <row r="762" spans="1:6" ht="12.3">
      <c r="A762" s="34"/>
      <c r="B762" s="30"/>
      <c r="C762" s="31"/>
      <c r="D762" s="32" t="str">
        <f>IF(ISBLANK(A762)," ",VLOOKUP(A762,'Product Database'!A:B,2,FALSE))</f>
        <v xml:space="preserve"> </v>
      </c>
      <c r="E762" s="31"/>
      <c r="F762" s="33"/>
    </row>
    <row r="763" spans="1:6" ht="12.3">
      <c r="A763" s="34"/>
      <c r="B763" s="30"/>
      <c r="C763" s="31"/>
      <c r="D763" s="32" t="str">
        <f>IF(ISBLANK(A763)," ",VLOOKUP(A763,'Product Database'!A:B,2,FALSE))</f>
        <v xml:space="preserve"> </v>
      </c>
      <c r="E763" s="31"/>
      <c r="F763" s="33"/>
    </row>
    <row r="764" spans="1:6" ht="12.3">
      <c r="A764" s="34"/>
      <c r="B764" s="30"/>
      <c r="C764" s="31"/>
      <c r="D764" s="32" t="str">
        <f>IF(ISBLANK(A764)," ",VLOOKUP(A764,'Product Database'!A:B,2,FALSE))</f>
        <v xml:space="preserve"> </v>
      </c>
      <c r="E764" s="31"/>
      <c r="F764" s="33"/>
    </row>
    <row r="765" spans="1:6" ht="12.3">
      <c r="A765" s="34"/>
      <c r="B765" s="30"/>
      <c r="C765" s="31"/>
      <c r="D765" s="32" t="str">
        <f>IF(ISBLANK(A765)," ",VLOOKUP(A765,'Product Database'!A:B,2,FALSE))</f>
        <v xml:space="preserve"> </v>
      </c>
      <c r="E765" s="31"/>
      <c r="F765" s="33"/>
    </row>
    <row r="766" spans="1:6" ht="12.3">
      <c r="A766" s="34"/>
      <c r="B766" s="30"/>
      <c r="C766" s="31"/>
      <c r="D766" s="32" t="str">
        <f>IF(ISBLANK(A766)," ",VLOOKUP(A766,'Product Database'!A:B,2,FALSE))</f>
        <v xml:space="preserve"> </v>
      </c>
      <c r="E766" s="31"/>
      <c r="F766" s="33"/>
    </row>
    <row r="767" spans="1:6" ht="12.3">
      <c r="A767" s="34"/>
      <c r="B767" s="30"/>
      <c r="C767" s="31"/>
      <c r="D767" s="32" t="str">
        <f>IF(ISBLANK(A767)," ",VLOOKUP(A767,'Product Database'!A:B,2,FALSE))</f>
        <v xml:space="preserve"> </v>
      </c>
      <c r="E767" s="31"/>
      <c r="F767" s="33"/>
    </row>
    <row r="768" spans="1:6" ht="12.3">
      <c r="A768" s="34"/>
      <c r="B768" s="30"/>
      <c r="C768" s="31"/>
      <c r="D768" s="32" t="str">
        <f>IF(ISBLANK(A768)," ",VLOOKUP(A768,'Product Database'!A:B,2,FALSE))</f>
        <v xml:space="preserve"> </v>
      </c>
      <c r="E768" s="31"/>
      <c r="F768" s="33"/>
    </row>
    <row r="769" spans="1:6" ht="12.3">
      <c r="A769" s="34"/>
      <c r="B769" s="30"/>
      <c r="C769" s="31"/>
      <c r="D769" s="32" t="str">
        <f>IF(ISBLANK(A769)," ",VLOOKUP(A769,'Product Database'!A:B,2,FALSE))</f>
        <v xml:space="preserve"> </v>
      </c>
      <c r="E769" s="31"/>
      <c r="F769" s="33"/>
    </row>
    <row r="770" spans="1:6" ht="12.3">
      <c r="A770" s="34"/>
      <c r="B770" s="30"/>
      <c r="C770" s="31"/>
      <c r="D770" s="32" t="str">
        <f>IF(ISBLANK(A770)," ",VLOOKUP(A770,'Product Database'!A:B,2,FALSE))</f>
        <v xml:space="preserve"> </v>
      </c>
      <c r="E770" s="31"/>
      <c r="F770" s="33"/>
    </row>
    <row r="771" spans="1:6" ht="12.3">
      <c r="A771" s="34"/>
      <c r="B771" s="30"/>
      <c r="C771" s="31"/>
      <c r="D771" s="32" t="str">
        <f>IF(ISBLANK(A771)," ",VLOOKUP(A771,'Product Database'!A:B,2,FALSE))</f>
        <v xml:space="preserve"> </v>
      </c>
      <c r="E771" s="31"/>
      <c r="F771" s="33"/>
    </row>
    <row r="772" spans="1:6" ht="12.3">
      <c r="A772" s="34"/>
      <c r="B772" s="30"/>
      <c r="C772" s="31"/>
      <c r="D772" s="32" t="str">
        <f>IF(ISBLANK(A772)," ",VLOOKUP(A772,'Product Database'!A:B,2,FALSE))</f>
        <v xml:space="preserve"> </v>
      </c>
      <c r="E772" s="31"/>
      <c r="F772" s="33"/>
    </row>
    <row r="773" spans="1:6" ht="12.3">
      <c r="A773" s="34"/>
      <c r="B773" s="30"/>
      <c r="C773" s="31"/>
      <c r="D773" s="32" t="str">
        <f>IF(ISBLANK(A773)," ",VLOOKUP(A773,'Product Database'!A:B,2,FALSE))</f>
        <v xml:space="preserve"> </v>
      </c>
      <c r="E773" s="31"/>
      <c r="F773" s="33"/>
    </row>
    <row r="774" spans="1:6" ht="12.3">
      <c r="A774" s="34"/>
      <c r="B774" s="30"/>
      <c r="C774" s="31"/>
      <c r="D774" s="32" t="str">
        <f>IF(ISBLANK(A774)," ",VLOOKUP(A774,'Product Database'!A:B,2,FALSE))</f>
        <v xml:space="preserve"> </v>
      </c>
      <c r="E774" s="31"/>
      <c r="F774" s="33"/>
    </row>
    <row r="775" spans="1:6" ht="12.3">
      <c r="A775" s="34"/>
      <c r="B775" s="30"/>
      <c r="C775" s="31"/>
      <c r="D775" s="32" t="str">
        <f>IF(ISBLANK(A775)," ",VLOOKUP(A775,'Product Database'!A:B,2,FALSE))</f>
        <v xml:space="preserve"> </v>
      </c>
      <c r="E775" s="31"/>
      <c r="F775" s="33"/>
    </row>
    <row r="776" spans="1:6" ht="12.3">
      <c r="A776" s="34"/>
      <c r="B776" s="30"/>
      <c r="C776" s="31"/>
      <c r="D776" s="32" t="str">
        <f>IF(ISBLANK(A776)," ",VLOOKUP(A776,'Product Database'!A:B,2,FALSE))</f>
        <v xml:space="preserve"> </v>
      </c>
      <c r="E776" s="31"/>
      <c r="F776" s="33"/>
    </row>
    <row r="777" spans="1:6" ht="12.3">
      <c r="A777" s="34"/>
      <c r="B777" s="30"/>
      <c r="C777" s="31"/>
      <c r="D777" s="32" t="str">
        <f>IF(ISBLANK(A777)," ",VLOOKUP(A777,'Product Database'!A:B,2,FALSE))</f>
        <v xml:space="preserve"> </v>
      </c>
      <c r="E777" s="31"/>
      <c r="F777" s="33"/>
    </row>
    <row r="778" spans="1:6" ht="12.3">
      <c r="A778" s="34"/>
      <c r="B778" s="30"/>
      <c r="C778" s="31"/>
      <c r="D778" s="32" t="str">
        <f>IF(ISBLANK(A778)," ",VLOOKUP(A778,'Product Database'!A:B,2,FALSE))</f>
        <v xml:space="preserve"> </v>
      </c>
      <c r="E778" s="31"/>
      <c r="F778" s="33"/>
    </row>
    <row r="779" spans="1:6" ht="12.3">
      <c r="A779" s="34"/>
      <c r="B779" s="30"/>
      <c r="C779" s="31"/>
      <c r="D779" s="32" t="str">
        <f>IF(ISBLANK(A779)," ",VLOOKUP(A779,'Product Database'!A:B,2,FALSE))</f>
        <v xml:space="preserve"> </v>
      </c>
      <c r="E779" s="31"/>
      <c r="F779" s="33"/>
    </row>
    <row r="780" spans="1:6" ht="12.3">
      <c r="A780" s="34"/>
      <c r="B780" s="30"/>
      <c r="C780" s="31"/>
      <c r="D780" s="32" t="str">
        <f>IF(ISBLANK(A780)," ",VLOOKUP(A780,'Product Database'!A:B,2,FALSE))</f>
        <v xml:space="preserve"> </v>
      </c>
      <c r="E780" s="31"/>
      <c r="F780" s="33"/>
    </row>
    <row r="781" spans="1:6" ht="12.3">
      <c r="A781" s="34"/>
      <c r="B781" s="30"/>
      <c r="C781" s="31"/>
      <c r="D781" s="32" t="str">
        <f>IF(ISBLANK(A781)," ",VLOOKUP(A781,'Product Database'!A:B,2,FALSE))</f>
        <v xml:space="preserve"> </v>
      </c>
      <c r="E781" s="31"/>
      <c r="F781" s="33"/>
    </row>
    <row r="782" spans="1:6" ht="12.3">
      <c r="A782" s="34"/>
      <c r="B782" s="30"/>
      <c r="C782" s="31"/>
      <c r="D782" s="32" t="str">
        <f>IF(ISBLANK(A782)," ",VLOOKUP(A782,'Product Database'!A:B,2,FALSE))</f>
        <v xml:space="preserve"> </v>
      </c>
      <c r="E782" s="31"/>
      <c r="F782" s="33"/>
    </row>
    <row r="783" spans="1:6" ht="12.3">
      <c r="A783" s="34"/>
      <c r="B783" s="30"/>
      <c r="C783" s="31"/>
      <c r="D783" s="32" t="str">
        <f>IF(ISBLANK(A783)," ",VLOOKUP(A783,'Product Database'!A:B,2,FALSE))</f>
        <v xml:space="preserve"> </v>
      </c>
      <c r="E783" s="31"/>
      <c r="F783" s="33"/>
    </row>
    <row r="784" spans="1:6" ht="12.3">
      <c r="A784" s="34"/>
      <c r="B784" s="30"/>
      <c r="C784" s="31"/>
      <c r="D784" s="32" t="str">
        <f>IF(ISBLANK(A784)," ",VLOOKUP(A784,'Product Database'!A:B,2,FALSE))</f>
        <v xml:space="preserve"> </v>
      </c>
      <c r="E784" s="31"/>
      <c r="F784" s="33"/>
    </row>
    <row r="785" spans="1:6" ht="12.3">
      <c r="A785" s="34"/>
      <c r="B785" s="30"/>
      <c r="C785" s="31"/>
      <c r="D785" s="32" t="str">
        <f>IF(ISBLANK(A785)," ",VLOOKUP(A785,'Product Database'!A:B,2,FALSE))</f>
        <v xml:space="preserve"> </v>
      </c>
      <c r="E785" s="31"/>
      <c r="F785" s="33"/>
    </row>
    <row r="786" spans="1:6" ht="12.3">
      <c r="A786" s="34"/>
      <c r="B786" s="30"/>
      <c r="C786" s="31"/>
      <c r="D786" s="32" t="str">
        <f>IF(ISBLANK(A786)," ",VLOOKUP(A786,'Product Database'!A:B,2,FALSE))</f>
        <v xml:space="preserve"> </v>
      </c>
      <c r="E786" s="31"/>
      <c r="F786" s="33"/>
    </row>
    <row r="787" spans="1:6" ht="12.3">
      <c r="A787" s="34"/>
      <c r="B787" s="30"/>
      <c r="C787" s="31"/>
      <c r="D787" s="32" t="str">
        <f>IF(ISBLANK(A787)," ",VLOOKUP(A787,'Product Database'!A:B,2,FALSE))</f>
        <v xml:space="preserve"> </v>
      </c>
      <c r="E787" s="31"/>
      <c r="F787" s="33"/>
    </row>
    <row r="788" spans="1:6" ht="12.3">
      <c r="A788" s="34"/>
      <c r="B788" s="30"/>
      <c r="C788" s="31"/>
      <c r="D788" s="32" t="str">
        <f>IF(ISBLANK(A788)," ",VLOOKUP(A788,'Product Database'!A:B,2,FALSE))</f>
        <v xml:space="preserve"> </v>
      </c>
      <c r="E788" s="31"/>
      <c r="F788" s="33"/>
    </row>
    <row r="789" spans="1:6" ht="12.3">
      <c r="A789" s="34"/>
      <c r="B789" s="30"/>
      <c r="C789" s="31"/>
      <c r="D789" s="32" t="str">
        <f>IF(ISBLANK(A789)," ",VLOOKUP(A789,'Product Database'!A:B,2,FALSE))</f>
        <v xml:space="preserve"> </v>
      </c>
      <c r="E789" s="31"/>
      <c r="F789" s="33"/>
    </row>
    <row r="790" spans="1:6" ht="12.3">
      <c r="A790" s="34"/>
      <c r="B790" s="30"/>
      <c r="C790" s="31"/>
      <c r="D790" s="32" t="str">
        <f>IF(ISBLANK(A790)," ",VLOOKUP(A790,'Product Database'!A:B,2,FALSE))</f>
        <v xml:space="preserve"> </v>
      </c>
      <c r="E790" s="31"/>
      <c r="F790" s="33"/>
    </row>
    <row r="791" spans="1:6" ht="12.3">
      <c r="A791" s="34"/>
      <c r="B791" s="30"/>
      <c r="C791" s="31"/>
      <c r="D791" s="32" t="str">
        <f>IF(ISBLANK(A791)," ",VLOOKUP(A791,'Product Database'!A:B,2,FALSE))</f>
        <v xml:space="preserve"> </v>
      </c>
      <c r="E791" s="31"/>
      <c r="F791" s="33"/>
    </row>
    <row r="792" spans="1:6" ht="12.3">
      <c r="A792" s="34"/>
      <c r="B792" s="30"/>
      <c r="C792" s="31"/>
      <c r="D792" s="32" t="str">
        <f>IF(ISBLANK(A792)," ",VLOOKUP(A792,'Product Database'!A:B,2,FALSE))</f>
        <v xml:space="preserve"> </v>
      </c>
      <c r="E792" s="31"/>
      <c r="F792" s="33"/>
    </row>
    <row r="793" spans="1:6" ht="12.3">
      <c r="A793" s="34"/>
      <c r="B793" s="30"/>
      <c r="C793" s="31"/>
      <c r="D793" s="32" t="str">
        <f>IF(ISBLANK(A793)," ",VLOOKUP(A793,'Product Database'!A:B,2,FALSE))</f>
        <v xml:space="preserve"> </v>
      </c>
      <c r="E793" s="31"/>
      <c r="F793" s="33"/>
    </row>
    <row r="794" spans="1:6" ht="12.3">
      <c r="A794" s="34"/>
      <c r="B794" s="30"/>
      <c r="C794" s="31"/>
      <c r="D794" s="32" t="str">
        <f>IF(ISBLANK(A794)," ",VLOOKUP(A794,'Product Database'!A:B,2,FALSE))</f>
        <v xml:space="preserve"> </v>
      </c>
      <c r="E794" s="31"/>
      <c r="F794" s="33"/>
    </row>
    <row r="795" spans="1:6" ht="12.3">
      <c r="A795" s="34"/>
      <c r="B795" s="30"/>
      <c r="C795" s="31"/>
      <c r="D795" s="32" t="str">
        <f>IF(ISBLANK(A795)," ",VLOOKUP(A795,'Product Database'!A:B,2,FALSE))</f>
        <v xml:space="preserve"> </v>
      </c>
      <c r="E795" s="31"/>
      <c r="F795" s="33"/>
    </row>
    <row r="796" spans="1:6" ht="12.3">
      <c r="A796" s="34"/>
      <c r="B796" s="30"/>
      <c r="C796" s="31"/>
      <c r="D796" s="32" t="str">
        <f>IF(ISBLANK(A796)," ",VLOOKUP(A796,'Product Database'!A:B,2,FALSE))</f>
        <v xml:space="preserve"> </v>
      </c>
      <c r="E796" s="31"/>
      <c r="F796" s="33"/>
    </row>
    <row r="797" spans="1:6" ht="12.3">
      <c r="A797" s="34"/>
      <c r="B797" s="30"/>
      <c r="C797" s="31"/>
      <c r="D797" s="32" t="str">
        <f>IF(ISBLANK(A797)," ",VLOOKUP(A797,'Product Database'!A:B,2,FALSE))</f>
        <v xml:space="preserve"> </v>
      </c>
      <c r="E797" s="31"/>
      <c r="F797" s="33"/>
    </row>
    <row r="798" spans="1:6" ht="12.3">
      <c r="A798" s="34"/>
      <c r="B798" s="30"/>
      <c r="C798" s="31"/>
      <c r="D798" s="32" t="str">
        <f>IF(ISBLANK(A798)," ",VLOOKUP(A798,'Product Database'!A:B,2,FALSE))</f>
        <v xml:space="preserve"> </v>
      </c>
      <c r="E798" s="31"/>
      <c r="F798" s="33"/>
    </row>
    <row r="799" spans="1:6" ht="12.3">
      <c r="A799" s="34"/>
      <c r="B799" s="30"/>
      <c r="C799" s="31"/>
      <c r="D799" s="32" t="str">
        <f>IF(ISBLANK(A799)," ",VLOOKUP(A799,'Product Database'!A:B,2,FALSE))</f>
        <v xml:space="preserve"> </v>
      </c>
      <c r="E799" s="31"/>
      <c r="F799" s="33"/>
    </row>
    <row r="800" spans="1:6" ht="12.3">
      <c r="A800" s="34"/>
      <c r="B800" s="30"/>
      <c r="C800" s="31"/>
      <c r="D800" s="32" t="str">
        <f>IF(ISBLANK(A800)," ",VLOOKUP(A800,'Product Database'!A:B,2,FALSE))</f>
        <v xml:space="preserve"> </v>
      </c>
      <c r="E800" s="31"/>
      <c r="F800" s="33"/>
    </row>
    <row r="801" spans="1:6" ht="12.3">
      <c r="A801" s="34"/>
      <c r="B801" s="30"/>
      <c r="C801" s="31"/>
      <c r="D801" s="32" t="str">
        <f>IF(ISBLANK(A801)," ",VLOOKUP(A801,'Product Database'!A:B,2,FALSE))</f>
        <v xml:space="preserve"> </v>
      </c>
      <c r="E801" s="31"/>
      <c r="F801" s="33"/>
    </row>
    <row r="802" spans="1:6" ht="12.3">
      <c r="A802" s="34"/>
      <c r="B802" s="30"/>
      <c r="C802" s="31"/>
      <c r="D802" s="32" t="str">
        <f>IF(ISBLANK(A802)," ",VLOOKUP(A802,'Product Database'!A:B,2,FALSE))</f>
        <v xml:space="preserve"> </v>
      </c>
      <c r="E802" s="31"/>
      <c r="F802" s="33"/>
    </row>
    <row r="803" spans="1:6" ht="12.3">
      <c r="A803" s="34"/>
      <c r="B803" s="30"/>
      <c r="C803" s="31"/>
      <c r="D803" s="32" t="str">
        <f>IF(ISBLANK(A803)," ",VLOOKUP(A803,'Product Database'!A:B,2,FALSE))</f>
        <v xml:space="preserve"> </v>
      </c>
      <c r="E803" s="31"/>
      <c r="F803" s="33"/>
    </row>
    <row r="804" spans="1:6" ht="12.3">
      <c r="A804" s="34"/>
      <c r="B804" s="30"/>
      <c r="C804" s="31"/>
      <c r="D804" s="32" t="str">
        <f>IF(ISBLANK(A804)," ",VLOOKUP(A804,'Product Database'!A:B,2,FALSE))</f>
        <v xml:space="preserve"> </v>
      </c>
      <c r="E804" s="31"/>
      <c r="F804" s="33"/>
    </row>
    <row r="805" spans="1:6" ht="12.3">
      <c r="A805" s="34"/>
      <c r="B805" s="30"/>
      <c r="C805" s="31"/>
      <c r="D805" s="32" t="str">
        <f>IF(ISBLANK(A805)," ",VLOOKUP(A805,'Product Database'!A:B,2,FALSE))</f>
        <v xml:space="preserve"> </v>
      </c>
      <c r="E805" s="31"/>
      <c r="F805" s="33"/>
    </row>
    <row r="806" spans="1:6" ht="12.3">
      <c r="A806" s="34"/>
      <c r="B806" s="30"/>
      <c r="C806" s="31"/>
      <c r="D806" s="32" t="str">
        <f>IF(ISBLANK(A806)," ",VLOOKUP(A806,'Product Database'!A:B,2,FALSE))</f>
        <v xml:space="preserve"> </v>
      </c>
      <c r="E806" s="31"/>
      <c r="F806" s="33"/>
    </row>
    <row r="807" spans="1:6" ht="12.3">
      <c r="A807" s="34"/>
      <c r="B807" s="30"/>
      <c r="C807" s="31"/>
      <c r="D807" s="32" t="str">
        <f>IF(ISBLANK(A807)," ",VLOOKUP(A807,'Product Database'!A:B,2,FALSE))</f>
        <v xml:space="preserve"> </v>
      </c>
      <c r="E807" s="31"/>
      <c r="F807" s="33"/>
    </row>
    <row r="808" spans="1:6" ht="12.3">
      <c r="A808" s="34"/>
      <c r="B808" s="30"/>
      <c r="C808" s="31"/>
      <c r="D808" s="32" t="str">
        <f>IF(ISBLANK(A808)," ",VLOOKUP(A808,'Product Database'!A:B,2,FALSE))</f>
        <v xml:space="preserve"> </v>
      </c>
      <c r="E808" s="31"/>
      <c r="F808" s="33"/>
    </row>
    <row r="809" spans="1:6" ht="12.3">
      <c r="A809" s="34"/>
      <c r="B809" s="30"/>
      <c r="C809" s="31"/>
      <c r="D809" s="32" t="str">
        <f>IF(ISBLANK(A809)," ",VLOOKUP(A809,'Product Database'!A:B,2,FALSE))</f>
        <v xml:space="preserve"> </v>
      </c>
      <c r="E809" s="31"/>
      <c r="F809" s="33"/>
    </row>
    <row r="810" spans="1:6" ht="12.3">
      <c r="A810" s="34"/>
      <c r="B810" s="30"/>
      <c r="C810" s="31"/>
      <c r="D810" s="32" t="str">
        <f>IF(ISBLANK(A810)," ",VLOOKUP(A810,'Product Database'!A:B,2,FALSE))</f>
        <v xml:space="preserve"> </v>
      </c>
      <c r="E810" s="31"/>
      <c r="F810" s="33"/>
    </row>
    <row r="811" spans="1:6" ht="12.3">
      <c r="A811" s="34"/>
      <c r="B811" s="30"/>
      <c r="C811" s="31"/>
      <c r="D811" s="32" t="str">
        <f>IF(ISBLANK(A811)," ",VLOOKUP(A811,'Product Database'!A:B,2,FALSE))</f>
        <v xml:space="preserve"> </v>
      </c>
      <c r="E811" s="31"/>
      <c r="F811" s="33"/>
    </row>
    <row r="812" spans="1:6" ht="12.3">
      <c r="A812" s="34"/>
      <c r="B812" s="30"/>
      <c r="C812" s="31"/>
      <c r="D812" s="32" t="str">
        <f>IF(ISBLANK(A812)," ",VLOOKUP(A812,'Product Database'!A:B,2,FALSE))</f>
        <v xml:space="preserve"> </v>
      </c>
      <c r="E812" s="31"/>
      <c r="F812" s="33"/>
    </row>
    <row r="813" spans="1:6" ht="12.3">
      <c r="A813" s="34"/>
      <c r="B813" s="30"/>
      <c r="C813" s="31"/>
      <c r="D813" s="32" t="str">
        <f>IF(ISBLANK(A813)," ",VLOOKUP(A813,'Product Database'!A:B,2,FALSE))</f>
        <v xml:space="preserve"> </v>
      </c>
      <c r="E813" s="31"/>
      <c r="F813" s="33"/>
    </row>
    <row r="814" spans="1:6" ht="12.3">
      <c r="A814" s="34"/>
      <c r="B814" s="30"/>
      <c r="C814" s="31"/>
      <c r="D814" s="32" t="str">
        <f>IF(ISBLANK(A814)," ",VLOOKUP(A814,'Product Database'!A:B,2,FALSE))</f>
        <v xml:space="preserve"> </v>
      </c>
      <c r="E814" s="31"/>
      <c r="F814" s="33"/>
    </row>
    <row r="815" spans="1:6" ht="12.3">
      <c r="A815" s="34"/>
      <c r="B815" s="30"/>
      <c r="C815" s="31"/>
      <c r="D815" s="32" t="str">
        <f>IF(ISBLANK(A815)," ",VLOOKUP(A815,'Product Database'!A:B,2,FALSE))</f>
        <v xml:space="preserve"> </v>
      </c>
      <c r="E815" s="31"/>
      <c r="F815" s="33"/>
    </row>
    <row r="816" spans="1:6" ht="12.3">
      <c r="A816" s="34"/>
      <c r="B816" s="30"/>
      <c r="C816" s="31"/>
      <c r="D816" s="32" t="str">
        <f>IF(ISBLANK(A816)," ",VLOOKUP(A816,'Product Database'!A:B,2,FALSE))</f>
        <v xml:space="preserve"> </v>
      </c>
      <c r="E816" s="31"/>
      <c r="F816" s="33"/>
    </row>
    <row r="817" spans="1:6" ht="12.3">
      <c r="A817" s="34"/>
      <c r="B817" s="30"/>
      <c r="C817" s="31"/>
      <c r="D817" s="32" t="str">
        <f>IF(ISBLANK(A817)," ",VLOOKUP(A817,'Product Database'!A:B,2,FALSE))</f>
        <v xml:space="preserve"> </v>
      </c>
      <c r="E817" s="31"/>
      <c r="F817" s="33"/>
    </row>
    <row r="818" spans="1:6" ht="12.3">
      <c r="A818" s="34"/>
      <c r="B818" s="30"/>
      <c r="C818" s="31"/>
      <c r="D818" s="32" t="str">
        <f>IF(ISBLANK(A818)," ",VLOOKUP(A818,'Product Database'!A:B,2,FALSE))</f>
        <v xml:space="preserve"> </v>
      </c>
      <c r="E818" s="31"/>
      <c r="F818" s="33"/>
    </row>
    <row r="819" spans="1:6" ht="12.3">
      <c r="A819" s="34"/>
      <c r="B819" s="30"/>
      <c r="C819" s="31"/>
      <c r="D819" s="32" t="str">
        <f>IF(ISBLANK(A819)," ",VLOOKUP(A819,'Product Database'!A:B,2,FALSE))</f>
        <v xml:space="preserve"> </v>
      </c>
      <c r="E819" s="31"/>
      <c r="F819" s="33"/>
    </row>
    <row r="820" spans="1:6" ht="12.3">
      <c r="A820" s="34"/>
      <c r="B820" s="30"/>
      <c r="C820" s="31"/>
      <c r="D820" s="32" t="str">
        <f>IF(ISBLANK(A820)," ",VLOOKUP(A820,'Product Database'!A:B,2,FALSE))</f>
        <v xml:space="preserve"> </v>
      </c>
      <c r="E820" s="31"/>
      <c r="F820" s="33"/>
    </row>
    <row r="821" spans="1:6" ht="12.3">
      <c r="A821" s="34"/>
      <c r="B821" s="30"/>
      <c r="C821" s="31"/>
      <c r="D821" s="32" t="str">
        <f>IF(ISBLANK(A821)," ",VLOOKUP(A821,'Product Database'!A:B,2,FALSE))</f>
        <v xml:space="preserve"> </v>
      </c>
      <c r="E821" s="31"/>
      <c r="F821" s="33"/>
    </row>
    <row r="822" spans="1:6" ht="12.3">
      <c r="A822" s="34"/>
      <c r="B822" s="30"/>
      <c r="C822" s="31"/>
      <c r="D822" s="32" t="str">
        <f>IF(ISBLANK(A822)," ",VLOOKUP(A822,'Product Database'!A:B,2,FALSE))</f>
        <v xml:space="preserve"> </v>
      </c>
      <c r="E822" s="31"/>
      <c r="F822" s="33"/>
    </row>
    <row r="823" spans="1:6" ht="12.3">
      <c r="A823" s="34"/>
      <c r="B823" s="30"/>
      <c r="C823" s="31"/>
      <c r="D823" s="32" t="str">
        <f>IF(ISBLANK(A823)," ",VLOOKUP(A823,'Product Database'!A:B,2,FALSE))</f>
        <v xml:space="preserve"> </v>
      </c>
      <c r="E823" s="31"/>
      <c r="F823" s="33"/>
    </row>
    <row r="824" spans="1:6" ht="12.3">
      <c r="A824" s="34"/>
      <c r="B824" s="30"/>
      <c r="C824" s="31"/>
      <c r="D824" s="32" t="str">
        <f>IF(ISBLANK(A824)," ",VLOOKUP(A824,'Product Database'!A:B,2,FALSE))</f>
        <v xml:space="preserve"> </v>
      </c>
      <c r="E824" s="31"/>
      <c r="F824" s="33"/>
    </row>
    <row r="825" spans="1:6" ht="12.3">
      <c r="A825" s="34"/>
      <c r="B825" s="30"/>
      <c r="C825" s="31"/>
      <c r="D825" s="32" t="str">
        <f>IF(ISBLANK(A825)," ",VLOOKUP(A825,'Product Database'!A:B,2,FALSE))</f>
        <v xml:space="preserve"> </v>
      </c>
      <c r="E825" s="31"/>
      <c r="F825" s="33"/>
    </row>
    <row r="826" spans="1:6" ht="12.3">
      <c r="A826" s="34"/>
      <c r="B826" s="30"/>
      <c r="C826" s="31"/>
      <c r="D826" s="32" t="str">
        <f>IF(ISBLANK(A826)," ",VLOOKUP(A826,'Product Database'!A:B,2,FALSE))</f>
        <v xml:space="preserve"> </v>
      </c>
      <c r="E826" s="31"/>
      <c r="F826" s="33"/>
    </row>
    <row r="827" spans="1:6" ht="12.3">
      <c r="A827" s="34"/>
      <c r="B827" s="30"/>
      <c r="C827" s="31"/>
      <c r="D827" s="32" t="str">
        <f>IF(ISBLANK(A827)," ",VLOOKUP(A827,'Product Database'!A:B,2,FALSE))</f>
        <v xml:space="preserve"> </v>
      </c>
      <c r="E827" s="31"/>
      <c r="F827" s="33"/>
    </row>
    <row r="828" spans="1:6" ht="12.3">
      <c r="A828" s="34"/>
      <c r="B828" s="30"/>
      <c r="C828" s="31"/>
      <c r="D828" s="32" t="str">
        <f>IF(ISBLANK(A828)," ",VLOOKUP(A828,'Product Database'!A:B,2,FALSE))</f>
        <v xml:space="preserve"> </v>
      </c>
      <c r="E828" s="31"/>
      <c r="F828" s="33"/>
    </row>
    <row r="829" spans="1:6" ht="12.3">
      <c r="A829" s="34"/>
      <c r="B829" s="30"/>
      <c r="C829" s="31"/>
      <c r="D829" s="32" t="str">
        <f>IF(ISBLANK(A829)," ",VLOOKUP(A829,'Product Database'!A:B,2,FALSE))</f>
        <v xml:space="preserve"> </v>
      </c>
      <c r="E829" s="31"/>
      <c r="F829" s="33"/>
    </row>
    <row r="830" spans="1:6" ht="12.3">
      <c r="A830" s="34"/>
      <c r="B830" s="30"/>
      <c r="C830" s="31"/>
      <c r="D830" s="32" t="str">
        <f>IF(ISBLANK(A830)," ",VLOOKUP(A830,'Product Database'!A:B,2,FALSE))</f>
        <v xml:space="preserve"> </v>
      </c>
      <c r="E830" s="31"/>
      <c r="F830" s="33"/>
    </row>
    <row r="831" spans="1:6" ht="12.3">
      <c r="A831" s="34"/>
      <c r="B831" s="30"/>
      <c r="C831" s="31"/>
      <c r="D831" s="32" t="str">
        <f>IF(ISBLANK(A831)," ",VLOOKUP(A831,'Product Database'!A:B,2,FALSE))</f>
        <v xml:space="preserve"> </v>
      </c>
      <c r="E831" s="31"/>
      <c r="F831" s="33"/>
    </row>
    <row r="832" spans="1:6" ht="12.3">
      <c r="A832" s="34"/>
      <c r="B832" s="30"/>
      <c r="C832" s="31"/>
      <c r="D832" s="32" t="str">
        <f>IF(ISBLANK(A832)," ",VLOOKUP(A832,'Product Database'!A:B,2,FALSE))</f>
        <v xml:space="preserve"> </v>
      </c>
      <c r="E832" s="31"/>
      <c r="F832" s="33"/>
    </row>
    <row r="833" spans="1:6" ht="12.3">
      <c r="A833" s="34"/>
      <c r="B833" s="30"/>
      <c r="C833" s="31"/>
      <c r="D833" s="32" t="str">
        <f>IF(ISBLANK(A833)," ",VLOOKUP(A833,'Product Database'!A:B,2,FALSE))</f>
        <v xml:space="preserve"> </v>
      </c>
      <c r="E833" s="31"/>
      <c r="F833" s="33"/>
    </row>
    <row r="834" spans="1:6" ht="12.3">
      <c r="A834" s="34"/>
      <c r="B834" s="30"/>
      <c r="C834" s="31"/>
      <c r="D834" s="32" t="str">
        <f>IF(ISBLANK(A834)," ",VLOOKUP(A834,'Product Database'!A:B,2,FALSE))</f>
        <v xml:space="preserve"> </v>
      </c>
      <c r="E834" s="31"/>
      <c r="F834" s="33"/>
    </row>
    <row r="835" spans="1:6" ht="12.3">
      <c r="A835" s="34"/>
      <c r="B835" s="30"/>
      <c r="C835" s="31"/>
      <c r="D835" s="32" t="str">
        <f>IF(ISBLANK(A835)," ",VLOOKUP(A835,'Product Database'!A:B,2,FALSE))</f>
        <v xml:space="preserve"> </v>
      </c>
      <c r="E835" s="31"/>
      <c r="F835" s="33"/>
    </row>
    <row r="836" spans="1:6" ht="12.3">
      <c r="A836" s="34"/>
      <c r="B836" s="30"/>
      <c r="C836" s="31"/>
      <c r="D836" s="32" t="str">
        <f>IF(ISBLANK(A836)," ",VLOOKUP(A836,'Product Database'!A:B,2,FALSE))</f>
        <v xml:space="preserve"> </v>
      </c>
      <c r="E836" s="31"/>
      <c r="F836" s="33"/>
    </row>
    <row r="837" spans="1:6" ht="12.3">
      <c r="A837" s="34"/>
      <c r="B837" s="30"/>
      <c r="C837" s="31"/>
      <c r="D837" s="32" t="str">
        <f>IF(ISBLANK(A837)," ",VLOOKUP(A837,'Product Database'!A:B,2,FALSE))</f>
        <v xml:space="preserve"> </v>
      </c>
      <c r="E837" s="31"/>
      <c r="F837" s="33"/>
    </row>
    <row r="838" spans="1:6" ht="12.3">
      <c r="A838" s="34"/>
      <c r="B838" s="30"/>
      <c r="C838" s="31"/>
      <c r="D838" s="32" t="str">
        <f>IF(ISBLANK(A838)," ",VLOOKUP(A838,'Product Database'!A:B,2,FALSE))</f>
        <v xml:space="preserve"> </v>
      </c>
      <c r="E838" s="31"/>
      <c r="F838" s="33"/>
    </row>
    <row r="839" spans="1:6" ht="12.3">
      <c r="A839" s="34"/>
      <c r="B839" s="30"/>
      <c r="C839" s="31"/>
      <c r="D839" s="32" t="str">
        <f>IF(ISBLANK(A839)," ",VLOOKUP(A839,'Product Database'!A:B,2,FALSE))</f>
        <v xml:space="preserve"> </v>
      </c>
      <c r="E839" s="31"/>
      <c r="F839" s="33"/>
    </row>
    <row r="840" spans="1:6" ht="12.3">
      <c r="A840" s="34"/>
      <c r="B840" s="30"/>
      <c r="C840" s="31"/>
      <c r="D840" s="32" t="str">
        <f>IF(ISBLANK(A840)," ",VLOOKUP(A840,'Product Database'!A:B,2,FALSE))</f>
        <v xml:space="preserve"> </v>
      </c>
      <c r="E840" s="31"/>
      <c r="F840" s="33"/>
    </row>
    <row r="841" spans="1:6" ht="12.3">
      <c r="A841" s="34"/>
      <c r="B841" s="30"/>
      <c r="C841" s="31"/>
      <c r="D841" s="32" t="str">
        <f>IF(ISBLANK(A841)," ",VLOOKUP(A841,'Product Database'!A:B,2,FALSE))</f>
        <v xml:space="preserve"> </v>
      </c>
      <c r="E841" s="31"/>
      <c r="F841" s="33"/>
    </row>
    <row r="842" spans="1:6" ht="12.3">
      <c r="A842" s="34"/>
      <c r="B842" s="30"/>
      <c r="C842" s="31"/>
      <c r="D842" s="32" t="str">
        <f>IF(ISBLANK(A842)," ",VLOOKUP(A842,'Product Database'!A:B,2,FALSE))</f>
        <v xml:space="preserve"> </v>
      </c>
      <c r="E842" s="31"/>
      <c r="F842" s="33"/>
    </row>
    <row r="843" spans="1:6" ht="12.3">
      <c r="A843" s="34"/>
      <c r="B843" s="30"/>
      <c r="C843" s="31"/>
      <c r="D843" s="32" t="str">
        <f>IF(ISBLANK(A843)," ",VLOOKUP(A843,'Product Database'!A:B,2,FALSE))</f>
        <v xml:space="preserve"> </v>
      </c>
      <c r="E843" s="31"/>
      <c r="F843" s="33"/>
    </row>
    <row r="844" spans="1:6" ht="12.3">
      <c r="A844" s="34"/>
      <c r="B844" s="30"/>
      <c r="C844" s="31"/>
      <c r="D844" s="32" t="str">
        <f>IF(ISBLANK(A844)," ",VLOOKUP(A844,'Product Database'!A:B,2,FALSE))</f>
        <v xml:space="preserve"> </v>
      </c>
      <c r="E844" s="31"/>
      <c r="F844" s="33"/>
    </row>
    <row r="845" spans="1:6" ht="12.3">
      <c r="A845" s="34"/>
      <c r="B845" s="30"/>
      <c r="C845" s="31"/>
      <c r="D845" s="32" t="str">
        <f>IF(ISBLANK(A845)," ",VLOOKUP(A845,'Product Database'!A:B,2,FALSE))</f>
        <v xml:space="preserve"> </v>
      </c>
      <c r="E845" s="31"/>
      <c r="F845" s="33"/>
    </row>
    <row r="846" spans="1:6" ht="12.3">
      <c r="A846" s="34"/>
      <c r="B846" s="30"/>
      <c r="C846" s="31"/>
      <c r="D846" s="32" t="str">
        <f>IF(ISBLANK(A846)," ",VLOOKUP(A846,'Product Database'!A:B,2,FALSE))</f>
        <v xml:space="preserve"> </v>
      </c>
      <c r="E846" s="31"/>
      <c r="F846" s="33"/>
    </row>
    <row r="847" spans="1:6" ht="12.3">
      <c r="A847" s="34"/>
      <c r="B847" s="30"/>
      <c r="C847" s="31"/>
      <c r="D847" s="32" t="str">
        <f>IF(ISBLANK(A847)," ",VLOOKUP(A847,'Product Database'!A:B,2,FALSE))</f>
        <v xml:space="preserve"> </v>
      </c>
      <c r="E847" s="31"/>
      <c r="F847" s="33"/>
    </row>
    <row r="848" spans="1:6" ht="12.3">
      <c r="A848" s="34"/>
      <c r="B848" s="30"/>
      <c r="C848" s="31"/>
      <c r="D848" s="32" t="str">
        <f>IF(ISBLANK(A848)," ",VLOOKUP(A848,'Product Database'!A:B,2,FALSE))</f>
        <v xml:space="preserve"> </v>
      </c>
      <c r="E848" s="31"/>
      <c r="F848" s="33"/>
    </row>
    <row r="849" spans="1:6" ht="12.3">
      <c r="A849" s="34"/>
      <c r="B849" s="30"/>
      <c r="C849" s="31"/>
      <c r="D849" s="32" t="str">
        <f>IF(ISBLANK(A849)," ",VLOOKUP(A849,'Product Database'!A:B,2,FALSE))</f>
        <v xml:space="preserve"> </v>
      </c>
      <c r="E849" s="31"/>
      <c r="F849" s="33"/>
    </row>
    <row r="850" spans="1:6" ht="12.3">
      <c r="A850" s="34"/>
      <c r="B850" s="30"/>
      <c r="C850" s="31"/>
      <c r="D850" s="32" t="str">
        <f>IF(ISBLANK(A850)," ",VLOOKUP(A850,'Product Database'!A:B,2,FALSE))</f>
        <v xml:space="preserve"> </v>
      </c>
      <c r="E850" s="31"/>
      <c r="F850" s="33"/>
    </row>
    <row r="851" spans="1:6" ht="12.3">
      <c r="A851" s="34"/>
      <c r="B851" s="30"/>
      <c r="C851" s="31"/>
      <c r="D851" s="32" t="str">
        <f>IF(ISBLANK(A851)," ",VLOOKUP(A851,'Product Database'!A:B,2,FALSE))</f>
        <v xml:space="preserve"> </v>
      </c>
      <c r="E851" s="31"/>
      <c r="F851" s="33"/>
    </row>
    <row r="852" spans="1:6" ht="12.3">
      <c r="A852" s="34"/>
      <c r="B852" s="30"/>
      <c r="C852" s="31"/>
      <c r="D852" s="32" t="str">
        <f>IF(ISBLANK(A852)," ",VLOOKUP(A852,'Product Database'!A:B,2,FALSE))</f>
        <v xml:space="preserve"> </v>
      </c>
      <c r="E852" s="31"/>
      <c r="F852" s="33"/>
    </row>
    <row r="853" spans="1:6" ht="12.3">
      <c r="A853" s="34"/>
      <c r="B853" s="30"/>
      <c r="C853" s="31"/>
      <c r="D853" s="32" t="str">
        <f>IF(ISBLANK(A853)," ",VLOOKUP(A853,'Product Database'!A:B,2,FALSE))</f>
        <v xml:space="preserve"> </v>
      </c>
      <c r="E853" s="31"/>
      <c r="F853" s="33"/>
    </row>
    <row r="854" spans="1:6" ht="12.3">
      <c r="A854" s="34"/>
      <c r="B854" s="30"/>
      <c r="C854" s="31"/>
      <c r="D854" s="32" t="str">
        <f>IF(ISBLANK(A854)," ",VLOOKUP(A854,'Product Database'!A:B,2,FALSE))</f>
        <v xml:space="preserve"> </v>
      </c>
      <c r="E854" s="31"/>
      <c r="F854" s="33"/>
    </row>
    <row r="855" spans="1:6" ht="12.3">
      <c r="A855" s="34"/>
      <c r="B855" s="30"/>
      <c r="C855" s="31"/>
      <c r="D855" s="32" t="str">
        <f>IF(ISBLANK(A855)," ",VLOOKUP(A855,'Product Database'!A:B,2,FALSE))</f>
        <v xml:space="preserve"> </v>
      </c>
      <c r="E855" s="31"/>
      <c r="F855" s="33"/>
    </row>
    <row r="856" spans="1:6" ht="12.3">
      <c r="A856" s="34"/>
      <c r="B856" s="30"/>
      <c r="C856" s="31"/>
      <c r="D856" s="32" t="str">
        <f>IF(ISBLANK(A856)," ",VLOOKUP(A856,'Product Database'!A:B,2,FALSE))</f>
        <v xml:space="preserve"> </v>
      </c>
      <c r="E856" s="31"/>
      <c r="F856" s="33"/>
    </row>
    <row r="857" spans="1:6" ht="12.3">
      <c r="A857" s="34"/>
      <c r="B857" s="30"/>
      <c r="C857" s="31"/>
      <c r="D857" s="32" t="str">
        <f>IF(ISBLANK(A857)," ",VLOOKUP(A857,'Product Database'!A:B,2,FALSE))</f>
        <v xml:space="preserve"> </v>
      </c>
      <c r="E857" s="31"/>
      <c r="F857" s="33"/>
    </row>
    <row r="858" spans="1:6" ht="12.3">
      <c r="A858" s="34"/>
      <c r="B858" s="30"/>
      <c r="C858" s="31"/>
      <c r="D858" s="32" t="str">
        <f>IF(ISBLANK(A858)," ",VLOOKUP(A858,'Product Database'!A:B,2,FALSE))</f>
        <v xml:space="preserve"> </v>
      </c>
      <c r="E858" s="31"/>
      <c r="F858" s="33"/>
    </row>
    <row r="859" spans="1:6" ht="12.3">
      <c r="A859" s="34"/>
      <c r="B859" s="30"/>
      <c r="C859" s="31"/>
      <c r="D859" s="32" t="str">
        <f>IF(ISBLANK(A859)," ",VLOOKUP(A859,'Product Database'!A:B,2,FALSE))</f>
        <v xml:space="preserve"> </v>
      </c>
      <c r="E859" s="31"/>
      <c r="F859" s="33"/>
    </row>
    <row r="860" spans="1:6" ht="12.3">
      <c r="A860" s="34"/>
      <c r="B860" s="30"/>
      <c r="C860" s="31"/>
      <c r="D860" s="32" t="str">
        <f>IF(ISBLANK(A860)," ",VLOOKUP(A860,'Product Database'!A:B,2,FALSE))</f>
        <v xml:space="preserve"> </v>
      </c>
      <c r="E860" s="31"/>
      <c r="F860" s="33"/>
    </row>
    <row r="861" spans="1:6" ht="12.3">
      <c r="A861" s="34"/>
      <c r="B861" s="30"/>
      <c r="C861" s="31"/>
      <c r="D861" s="32" t="str">
        <f>IF(ISBLANK(A861)," ",VLOOKUP(A861,'Product Database'!A:B,2,FALSE))</f>
        <v xml:space="preserve"> </v>
      </c>
      <c r="E861" s="31"/>
      <c r="F861" s="33"/>
    </row>
    <row r="862" spans="1:6" ht="12.3">
      <c r="A862" s="34"/>
      <c r="B862" s="30"/>
      <c r="C862" s="31"/>
      <c r="D862" s="32" t="str">
        <f>IF(ISBLANK(A862)," ",VLOOKUP(A862,'Product Database'!A:B,2,FALSE))</f>
        <v xml:space="preserve"> </v>
      </c>
      <c r="E862" s="31"/>
      <c r="F862" s="33"/>
    </row>
    <row r="863" spans="1:6" ht="12.3">
      <c r="A863" s="34"/>
      <c r="B863" s="30"/>
      <c r="C863" s="31"/>
      <c r="D863" s="32" t="str">
        <f>IF(ISBLANK(A863)," ",VLOOKUP(A863,'Product Database'!A:B,2,FALSE))</f>
        <v xml:space="preserve"> </v>
      </c>
      <c r="E863" s="31"/>
      <c r="F863" s="33"/>
    </row>
    <row r="864" spans="1:6" ht="12.3">
      <c r="A864" s="34"/>
      <c r="B864" s="30"/>
      <c r="C864" s="31"/>
      <c r="D864" s="32" t="str">
        <f>IF(ISBLANK(A864)," ",VLOOKUP(A864,'Product Database'!A:B,2,FALSE))</f>
        <v xml:space="preserve"> </v>
      </c>
      <c r="E864" s="31"/>
      <c r="F864" s="33"/>
    </row>
    <row r="865" spans="1:6" ht="12.3">
      <c r="A865" s="34"/>
      <c r="B865" s="30"/>
      <c r="C865" s="31"/>
      <c r="D865" s="32" t="str">
        <f>IF(ISBLANK(A865)," ",VLOOKUP(A865,'Product Database'!A:B,2,FALSE))</f>
        <v xml:space="preserve"> </v>
      </c>
      <c r="E865" s="31"/>
      <c r="F865" s="33"/>
    </row>
    <row r="866" spans="1:6" ht="12.3">
      <c r="A866" s="34"/>
      <c r="B866" s="30"/>
      <c r="C866" s="31"/>
      <c r="D866" s="32" t="str">
        <f>IF(ISBLANK(A866)," ",VLOOKUP(A866,'Product Database'!A:B,2,FALSE))</f>
        <v xml:space="preserve"> </v>
      </c>
      <c r="E866" s="31"/>
      <c r="F866" s="33"/>
    </row>
    <row r="867" spans="1:6" ht="12.3">
      <c r="A867" s="34"/>
      <c r="B867" s="30"/>
      <c r="C867" s="31"/>
      <c r="D867" s="32" t="str">
        <f>IF(ISBLANK(A867)," ",VLOOKUP(A867,'Product Database'!A:B,2,FALSE))</f>
        <v xml:space="preserve"> </v>
      </c>
      <c r="E867" s="31"/>
      <c r="F867" s="33"/>
    </row>
    <row r="868" spans="1:6" ht="12.3">
      <c r="A868" s="34"/>
      <c r="B868" s="30"/>
      <c r="C868" s="31"/>
      <c r="D868" s="32" t="str">
        <f>IF(ISBLANK(A868)," ",VLOOKUP(A868,'Product Database'!A:B,2,FALSE))</f>
        <v xml:space="preserve"> </v>
      </c>
      <c r="E868" s="31"/>
      <c r="F868" s="33"/>
    </row>
    <row r="869" spans="1:6" ht="12.3">
      <c r="A869" s="34"/>
      <c r="B869" s="30"/>
      <c r="C869" s="31"/>
      <c r="D869" s="32" t="str">
        <f>IF(ISBLANK(A869)," ",VLOOKUP(A869,'Product Database'!A:B,2,FALSE))</f>
        <v xml:space="preserve"> </v>
      </c>
      <c r="E869" s="31"/>
      <c r="F869" s="33"/>
    </row>
    <row r="870" spans="1:6" ht="12.3">
      <c r="A870" s="34"/>
      <c r="B870" s="30"/>
      <c r="C870" s="31"/>
      <c r="D870" s="32" t="str">
        <f>IF(ISBLANK(A870)," ",VLOOKUP(A870,'Product Database'!A:B,2,FALSE))</f>
        <v xml:space="preserve"> </v>
      </c>
      <c r="E870" s="31"/>
      <c r="F870" s="33"/>
    </row>
    <row r="871" spans="1:6" ht="12.3">
      <c r="A871" s="34"/>
      <c r="B871" s="30"/>
      <c r="C871" s="31"/>
      <c r="D871" s="32" t="str">
        <f>IF(ISBLANK(A871)," ",VLOOKUP(A871,'Product Database'!A:B,2,FALSE))</f>
        <v xml:space="preserve"> </v>
      </c>
      <c r="E871" s="31"/>
      <c r="F871" s="33"/>
    </row>
    <row r="872" spans="1:6" ht="12.3">
      <c r="A872" s="34"/>
      <c r="B872" s="30"/>
      <c r="C872" s="31"/>
      <c r="D872" s="32" t="str">
        <f>IF(ISBLANK(A872)," ",VLOOKUP(A872,'Product Database'!A:B,2,FALSE))</f>
        <v xml:space="preserve"> </v>
      </c>
      <c r="E872" s="31"/>
      <c r="F872" s="33"/>
    </row>
    <row r="873" spans="1:6" ht="12.3">
      <c r="A873" s="34"/>
      <c r="B873" s="30"/>
      <c r="C873" s="31"/>
      <c r="D873" s="32" t="str">
        <f>IF(ISBLANK(A873)," ",VLOOKUP(A873,'Product Database'!A:B,2,FALSE))</f>
        <v xml:space="preserve"> </v>
      </c>
      <c r="E873" s="31"/>
      <c r="F873" s="33"/>
    </row>
    <row r="874" spans="1:6" ht="12.3">
      <c r="A874" s="34"/>
      <c r="B874" s="30"/>
      <c r="C874" s="31"/>
      <c r="D874" s="32" t="str">
        <f>IF(ISBLANK(A874)," ",VLOOKUP(A874,'Product Database'!A:B,2,FALSE))</f>
        <v xml:space="preserve"> </v>
      </c>
      <c r="E874" s="31"/>
      <c r="F874" s="33"/>
    </row>
    <row r="875" spans="1:6" ht="12.3">
      <c r="A875" s="34"/>
      <c r="B875" s="30"/>
      <c r="C875" s="31"/>
      <c r="D875" s="32" t="str">
        <f>IF(ISBLANK(A875)," ",VLOOKUP(A875,'Product Database'!A:B,2,FALSE))</f>
        <v xml:space="preserve"> </v>
      </c>
      <c r="E875" s="31"/>
      <c r="F875" s="33"/>
    </row>
    <row r="876" spans="1:6" ht="12.3">
      <c r="A876" s="34"/>
      <c r="B876" s="30"/>
      <c r="C876" s="31"/>
      <c r="D876" s="32" t="str">
        <f>IF(ISBLANK(A876)," ",VLOOKUP(A876,'Product Database'!A:B,2,FALSE))</f>
        <v xml:space="preserve"> </v>
      </c>
      <c r="E876" s="31"/>
      <c r="F876" s="33"/>
    </row>
    <row r="877" spans="1:6" ht="12.3">
      <c r="A877" s="34"/>
      <c r="B877" s="30"/>
      <c r="C877" s="31"/>
      <c r="D877" s="32" t="str">
        <f>IF(ISBLANK(A877)," ",VLOOKUP(A877,'Product Database'!A:B,2,FALSE))</f>
        <v xml:space="preserve"> </v>
      </c>
      <c r="E877" s="31"/>
      <c r="F877" s="33"/>
    </row>
    <row r="878" spans="1:6" ht="12.3">
      <c r="A878" s="34"/>
      <c r="B878" s="30"/>
      <c r="C878" s="31"/>
      <c r="D878" s="32" t="str">
        <f>IF(ISBLANK(A878)," ",VLOOKUP(A878,'Product Database'!A:B,2,FALSE))</f>
        <v xml:space="preserve"> </v>
      </c>
      <c r="E878" s="31"/>
      <c r="F878" s="33"/>
    </row>
    <row r="879" spans="1:6" ht="12.3">
      <c r="A879" s="34"/>
      <c r="B879" s="30"/>
      <c r="C879" s="31"/>
      <c r="D879" s="32" t="str">
        <f>IF(ISBLANK(A879)," ",VLOOKUP(A879,'Product Database'!A:B,2,FALSE))</f>
        <v xml:space="preserve"> </v>
      </c>
      <c r="E879" s="31"/>
      <c r="F879" s="33"/>
    </row>
    <row r="880" spans="1:6" ht="12.3">
      <c r="A880" s="34"/>
      <c r="B880" s="30"/>
      <c r="C880" s="31"/>
      <c r="D880" s="32" t="str">
        <f>IF(ISBLANK(A880)," ",VLOOKUP(A880,'Product Database'!A:B,2,FALSE))</f>
        <v xml:space="preserve"> </v>
      </c>
      <c r="E880" s="31"/>
      <c r="F880" s="33"/>
    </row>
    <row r="881" spans="1:6" ht="12.3">
      <c r="A881" s="34"/>
      <c r="B881" s="30"/>
      <c r="C881" s="31"/>
      <c r="D881" s="32" t="str">
        <f>IF(ISBLANK(A881)," ",VLOOKUP(A881,'Product Database'!A:B,2,FALSE))</f>
        <v xml:space="preserve"> </v>
      </c>
      <c r="E881" s="31"/>
      <c r="F881" s="33"/>
    </row>
    <row r="882" spans="1:6" ht="12.3">
      <c r="A882" s="34"/>
      <c r="B882" s="30"/>
      <c r="C882" s="31"/>
      <c r="D882" s="32" t="str">
        <f>IF(ISBLANK(A882)," ",VLOOKUP(A882,'Product Database'!A:B,2,FALSE))</f>
        <v xml:space="preserve"> </v>
      </c>
      <c r="E882" s="31"/>
      <c r="F882" s="33"/>
    </row>
    <row r="883" spans="1:6" ht="12.3">
      <c r="A883" s="34"/>
      <c r="B883" s="30"/>
      <c r="C883" s="31"/>
      <c r="D883" s="32" t="str">
        <f>IF(ISBLANK(A883)," ",VLOOKUP(A883,'Product Database'!A:B,2,FALSE))</f>
        <v xml:space="preserve"> </v>
      </c>
      <c r="E883" s="31"/>
      <c r="F883" s="33"/>
    </row>
    <row r="884" spans="1:6" ht="12.3">
      <c r="A884" s="34"/>
      <c r="B884" s="30"/>
      <c r="C884" s="31"/>
      <c r="D884" s="32" t="str">
        <f>IF(ISBLANK(A884)," ",VLOOKUP(A884,'Product Database'!A:B,2,FALSE))</f>
        <v xml:space="preserve"> </v>
      </c>
      <c r="E884" s="31"/>
      <c r="F884" s="33"/>
    </row>
    <row r="885" spans="1:6" ht="12.3">
      <c r="A885" s="34"/>
      <c r="B885" s="30"/>
      <c r="C885" s="31"/>
      <c r="D885" s="32" t="str">
        <f>IF(ISBLANK(A885)," ",VLOOKUP(A885,'Product Database'!A:B,2,FALSE))</f>
        <v xml:space="preserve"> </v>
      </c>
      <c r="E885" s="31"/>
      <c r="F885" s="33"/>
    </row>
    <row r="886" spans="1:6" ht="12.3">
      <c r="A886" s="34"/>
      <c r="B886" s="30"/>
      <c r="C886" s="31"/>
      <c r="D886" s="32" t="str">
        <f>IF(ISBLANK(A886)," ",VLOOKUP(A886,'Product Database'!A:B,2,FALSE))</f>
        <v xml:space="preserve"> </v>
      </c>
      <c r="E886" s="31"/>
      <c r="F886" s="33"/>
    </row>
    <row r="887" spans="1:6" ht="12.3">
      <c r="A887" s="34"/>
      <c r="B887" s="30"/>
      <c r="C887" s="31"/>
      <c r="D887" s="32" t="str">
        <f>IF(ISBLANK(A887)," ",VLOOKUP(A887,'Product Database'!A:B,2,FALSE))</f>
        <v xml:space="preserve"> </v>
      </c>
      <c r="E887" s="31"/>
      <c r="F887" s="33"/>
    </row>
    <row r="888" spans="1:6" ht="12.3">
      <c r="A888" s="34"/>
      <c r="B888" s="30"/>
      <c r="C888" s="31"/>
      <c r="D888" s="32" t="str">
        <f>IF(ISBLANK(A888)," ",VLOOKUP(A888,'Product Database'!A:B,2,FALSE))</f>
        <v xml:space="preserve"> </v>
      </c>
      <c r="E888" s="31"/>
      <c r="F888" s="33"/>
    </row>
    <row r="889" spans="1:6" ht="12.3">
      <c r="A889" s="34"/>
      <c r="B889" s="30"/>
      <c r="C889" s="31"/>
      <c r="D889" s="32" t="str">
        <f>IF(ISBLANK(A889)," ",VLOOKUP(A889,'Product Database'!A:B,2,FALSE))</f>
        <v xml:space="preserve"> </v>
      </c>
      <c r="E889" s="31"/>
      <c r="F889" s="33"/>
    </row>
    <row r="890" spans="1:6" ht="12.3">
      <c r="A890" s="34"/>
      <c r="B890" s="30"/>
      <c r="C890" s="31"/>
      <c r="D890" s="32" t="str">
        <f>IF(ISBLANK(A890)," ",VLOOKUP(A890,'Product Database'!A:B,2,FALSE))</f>
        <v xml:space="preserve"> </v>
      </c>
      <c r="E890" s="31"/>
      <c r="F890" s="33"/>
    </row>
    <row r="891" spans="1:6" ht="12.3">
      <c r="A891" s="34"/>
      <c r="B891" s="30"/>
      <c r="C891" s="31"/>
      <c r="D891" s="32" t="str">
        <f>IF(ISBLANK(A891)," ",VLOOKUP(A891,'Product Database'!A:B,2,FALSE))</f>
        <v xml:space="preserve"> </v>
      </c>
      <c r="E891" s="31"/>
      <c r="F891" s="33"/>
    </row>
    <row r="892" spans="1:6" ht="12.3">
      <c r="A892" s="34"/>
      <c r="B892" s="30"/>
      <c r="C892" s="31"/>
      <c r="D892" s="32" t="str">
        <f>IF(ISBLANK(A892)," ",VLOOKUP(A892,'Product Database'!A:B,2,FALSE))</f>
        <v xml:space="preserve"> </v>
      </c>
      <c r="E892" s="31"/>
      <c r="F892" s="33"/>
    </row>
    <row r="893" spans="1:6" ht="12.3">
      <c r="A893" s="34"/>
      <c r="B893" s="30"/>
      <c r="C893" s="31"/>
      <c r="D893" s="32" t="str">
        <f>IF(ISBLANK(A893)," ",VLOOKUP(A893,'Product Database'!A:B,2,FALSE))</f>
        <v xml:space="preserve"> </v>
      </c>
      <c r="E893" s="31"/>
      <c r="F893" s="33"/>
    </row>
    <row r="894" spans="1:6" ht="12.3">
      <c r="A894" s="34"/>
      <c r="B894" s="30"/>
      <c r="C894" s="31"/>
      <c r="D894" s="32" t="str">
        <f>IF(ISBLANK(A894)," ",VLOOKUP(A894,'Product Database'!A:B,2,FALSE))</f>
        <v xml:space="preserve"> </v>
      </c>
      <c r="E894" s="31"/>
      <c r="F894" s="33"/>
    </row>
    <row r="895" spans="1:6" ht="12.3">
      <c r="A895" s="34"/>
      <c r="B895" s="30"/>
      <c r="C895" s="31"/>
      <c r="D895" s="32" t="str">
        <f>IF(ISBLANK(A895)," ",VLOOKUP(A895,'Product Database'!A:B,2,FALSE))</f>
        <v xml:space="preserve"> </v>
      </c>
      <c r="E895" s="31"/>
      <c r="F895" s="33"/>
    </row>
    <row r="896" spans="1:6" ht="12.3">
      <c r="A896" s="34"/>
      <c r="B896" s="30"/>
      <c r="C896" s="31"/>
      <c r="D896" s="32" t="str">
        <f>IF(ISBLANK(A896)," ",VLOOKUP(A896,'Product Database'!A:B,2,FALSE))</f>
        <v xml:space="preserve"> </v>
      </c>
      <c r="E896" s="31"/>
      <c r="F896" s="33"/>
    </row>
    <row r="897" spans="1:6" ht="12.3">
      <c r="A897" s="34"/>
      <c r="B897" s="30"/>
      <c r="C897" s="31"/>
      <c r="D897" s="32" t="str">
        <f>IF(ISBLANK(A897)," ",VLOOKUP(A897,'Product Database'!A:B,2,FALSE))</f>
        <v xml:space="preserve"> </v>
      </c>
      <c r="E897" s="31"/>
      <c r="F897" s="33"/>
    </row>
    <row r="898" spans="1:6" ht="12.3">
      <c r="A898" s="34"/>
      <c r="B898" s="30"/>
      <c r="C898" s="31"/>
      <c r="D898" s="32" t="str">
        <f>IF(ISBLANK(A898)," ",VLOOKUP(A898,'Product Database'!A:B,2,FALSE))</f>
        <v xml:space="preserve"> </v>
      </c>
      <c r="E898" s="31"/>
      <c r="F898" s="33"/>
    </row>
    <row r="899" spans="1:6" ht="12.3">
      <c r="A899" s="34"/>
      <c r="B899" s="30"/>
      <c r="C899" s="31"/>
      <c r="D899" s="32" t="str">
        <f>IF(ISBLANK(A899)," ",VLOOKUP(A899,'Product Database'!A:B,2,FALSE))</f>
        <v xml:space="preserve"> </v>
      </c>
      <c r="E899" s="31"/>
      <c r="F899" s="33"/>
    </row>
    <row r="900" spans="1:6" ht="12.3">
      <c r="A900" s="34"/>
      <c r="B900" s="30"/>
      <c r="C900" s="31"/>
      <c r="D900" s="32" t="str">
        <f>IF(ISBLANK(A900)," ",VLOOKUP(A900,'Product Database'!A:B,2,FALSE))</f>
        <v xml:space="preserve"> </v>
      </c>
      <c r="E900" s="31"/>
      <c r="F900" s="33"/>
    </row>
    <row r="901" spans="1:6" ht="12.3">
      <c r="A901" s="34"/>
      <c r="B901" s="30"/>
      <c r="C901" s="31"/>
      <c r="D901" s="32" t="str">
        <f>IF(ISBLANK(A901)," ",VLOOKUP(A901,'Product Database'!A:B,2,FALSE))</f>
        <v xml:space="preserve"> </v>
      </c>
      <c r="E901" s="31"/>
      <c r="F901" s="33"/>
    </row>
    <row r="902" spans="1:6" ht="12.3">
      <c r="A902" s="34"/>
      <c r="B902" s="30"/>
      <c r="C902" s="31"/>
      <c r="D902" s="32" t="str">
        <f>IF(ISBLANK(A902)," ",VLOOKUP(A902,'Product Database'!A:B,2,FALSE))</f>
        <v xml:space="preserve"> </v>
      </c>
      <c r="E902" s="31"/>
      <c r="F902" s="33"/>
    </row>
    <row r="903" spans="1:6" ht="12.3">
      <c r="A903" s="34"/>
      <c r="B903" s="30"/>
      <c r="C903" s="31"/>
      <c r="D903" s="32" t="str">
        <f>IF(ISBLANK(A903)," ",VLOOKUP(A903,'Product Database'!A:B,2,FALSE))</f>
        <v xml:space="preserve"> </v>
      </c>
      <c r="E903" s="31"/>
      <c r="F903" s="33"/>
    </row>
    <row r="904" spans="1:6" ht="12.3">
      <c r="A904" s="34"/>
      <c r="B904" s="30"/>
      <c r="C904" s="31"/>
      <c r="D904" s="32" t="str">
        <f>IF(ISBLANK(A904)," ",VLOOKUP(A904,'Product Database'!A:B,2,FALSE))</f>
        <v xml:space="preserve"> </v>
      </c>
      <c r="E904" s="31"/>
      <c r="F904" s="33"/>
    </row>
    <row r="905" spans="1:6" ht="12.3">
      <c r="A905" s="34"/>
      <c r="B905" s="30"/>
      <c r="C905" s="31"/>
      <c r="D905" s="32" t="str">
        <f>IF(ISBLANK(A905)," ",VLOOKUP(A905,'Product Database'!A:B,2,FALSE))</f>
        <v xml:space="preserve"> </v>
      </c>
      <c r="E905" s="31"/>
      <c r="F905" s="33"/>
    </row>
    <row r="906" spans="1:6" ht="12.3">
      <c r="A906" s="34"/>
      <c r="B906" s="30"/>
      <c r="C906" s="31"/>
      <c r="D906" s="32" t="str">
        <f>IF(ISBLANK(A906)," ",VLOOKUP(A906,'Product Database'!A:B,2,FALSE))</f>
        <v xml:space="preserve"> </v>
      </c>
      <c r="E906" s="31"/>
      <c r="F906" s="33"/>
    </row>
    <row r="907" spans="1:6" ht="12.3">
      <c r="A907" s="34"/>
      <c r="B907" s="30"/>
      <c r="C907" s="31"/>
      <c r="D907" s="32" t="str">
        <f>IF(ISBLANK(A907)," ",VLOOKUP(A907,'Product Database'!A:B,2,FALSE))</f>
        <v xml:space="preserve"> </v>
      </c>
      <c r="E907" s="31"/>
      <c r="F907" s="33"/>
    </row>
    <row r="908" spans="1:6" ht="12.3">
      <c r="A908" s="34"/>
      <c r="B908" s="30"/>
      <c r="C908" s="31"/>
      <c r="D908" s="32" t="str">
        <f>IF(ISBLANK(A908)," ",VLOOKUP(A908,'Product Database'!A:B,2,FALSE))</f>
        <v xml:space="preserve"> </v>
      </c>
      <c r="E908" s="31"/>
      <c r="F908" s="33"/>
    </row>
    <row r="909" spans="1:6" ht="12.3">
      <c r="A909" s="34"/>
      <c r="B909" s="30"/>
      <c r="C909" s="31"/>
      <c r="D909" s="32" t="str">
        <f>IF(ISBLANK(A909)," ",VLOOKUP(A909,'Product Database'!A:B,2,FALSE))</f>
        <v xml:space="preserve"> </v>
      </c>
      <c r="E909" s="31"/>
      <c r="F909" s="33"/>
    </row>
    <row r="910" spans="1:6" ht="12.3">
      <c r="A910" s="34"/>
      <c r="B910" s="30"/>
      <c r="C910" s="31"/>
      <c r="D910" s="32" t="str">
        <f>IF(ISBLANK(A910)," ",VLOOKUP(A910,'Product Database'!A:B,2,FALSE))</f>
        <v xml:space="preserve"> </v>
      </c>
      <c r="E910" s="31"/>
      <c r="F910" s="33"/>
    </row>
    <row r="911" spans="1:6" ht="12.3">
      <c r="A911" s="34"/>
      <c r="B911" s="30"/>
      <c r="C911" s="31"/>
      <c r="D911" s="32" t="str">
        <f>IF(ISBLANK(A911)," ",VLOOKUP(A911,'Product Database'!A:B,2,FALSE))</f>
        <v xml:space="preserve"> </v>
      </c>
      <c r="E911" s="31"/>
      <c r="F911" s="33"/>
    </row>
    <row r="912" spans="1:6" ht="12.3">
      <c r="A912" s="34"/>
      <c r="B912" s="30"/>
      <c r="C912" s="31"/>
      <c r="D912" s="32" t="str">
        <f>IF(ISBLANK(A912)," ",VLOOKUP(A912,'Product Database'!A:B,2,FALSE))</f>
        <v xml:space="preserve"> </v>
      </c>
      <c r="E912" s="31"/>
      <c r="F912" s="33"/>
    </row>
    <row r="913" spans="1:6" ht="12.3">
      <c r="A913" s="34"/>
      <c r="B913" s="30"/>
      <c r="C913" s="31"/>
      <c r="D913" s="32" t="str">
        <f>IF(ISBLANK(A913)," ",VLOOKUP(A913,'Product Database'!A:B,2,FALSE))</f>
        <v xml:space="preserve"> </v>
      </c>
      <c r="E913" s="31"/>
      <c r="F913" s="33"/>
    </row>
    <row r="914" spans="1:6" ht="12.3">
      <c r="A914" s="34"/>
      <c r="B914" s="30"/>
      <c r="C914" s="31"/>
      <c r="D914" s="32" t="str">
        <f>IF(ISBLANK(A914)," ",VLOOKUP(A914,'Product Database'!A:B,2,FALSE))</f>
        <v xml:space="preserve"> </v>
      </c>
      <c r="E914" s="31"/>
      <c r="F914" s="33"/>
    </row>
    <row r="915" spans="1:6" ht="12.3">
      <c r="A915" s="34"/>
      <c r="B915" s="30"/>
      <c r="C915" s="31"/>
      <c r="D915" s="32" t="str">
        <f>IF(ISBLANK(A915)," ",VLOOKUP(A915,'Product Database'!A:B,2,FALSE))</f>
        <v xml:space="preserve"> </v>
      </c>
      <c r="E915" s="31"/>
      <c r="F915" s="33"/>
    </row>
    <row r="916" spans="1:6" ht="12.3">
      <c r="A916" s="34"/>
      <c r="B916" s="30"/>
      <c r="C916" s="31"/>
      <c r="D916" s="32" t="str">
        <f>IF(ISBLANK(A916)," ",VLOOKUP(A916,'Product Database'!A:B,2,FALSE))</f>
        <v xml:space="preserve"> </v>
      </c>
      <c r="E916" s="31"/>
      <c r="F916" s="33"/>
    </row>
    <row r="917" spans="1:6" ht="12.3">
      <c r="A917" s="34"/>
      <c r="B917" s="30"/>
      <c r="C917" s="31"/>
      <c r="D917" s="32" t="str">
        <f>IF(ISBLANK(A917)," ",VLOOKUP(A917,'Product Database'!A:B,2,FALSE))</f>
        <v xml:space="preserve"> </v>
      </c>
      <c r="E917" s="31"/>
      <c r="F917" s="33"/>
    </row>
    <row r="918" spans="1:6" ht="12.3">
      <c r="A918" s="34"/>
      <c r="B918" s="30"/>
      <c r="C918" s="31"/>
      <c r="D918" s="32" t="str">
        <f>IF(ISBLANK(A918)," ",VLOOKUP(A918,'Product Database'!A:B,2,FALSE))</f>
        <v xml:space="preserve"> </v>
      </c>
      <c r="E918" s="31"/>
      <c r="F918" s="33"/>
    </row>
    <row r="919" spans="1:6" ht="12.3">
      <c r="A919" s="34"/>
      <c r="B919" s="30"/>
      <c r="C919" s="31"/>
      <c r="D919" s="32" t="str">
        <f>IF(ISBLANK(A919)," ",VLOOKUP(A919,'Product Database'!A:B,2,FALSE))</f>
        <v xml:space="preserve"> </v>
      </c>
      <c r="E919" s="31"/>
      <c r="F919" s="33"/>
    </row>
    <row r="920" spans="1:6" ht="12.3">
      <c r="A920" s="34"/>
      <c r="B920" s="30"/>
      <c r="C920" s="31"/>
      <c r="D920" s="32" t="str">
        <f>IF(ISBLANK(A920)," ",VLOOKUP(A920,'Product Database'!A:B,2,FALSE))</f>
        <v xml:space="preserve"> </v>
      </c>
      <c r="E920" s="31"/>
      <c r="F920" s="33"/>
    </row>
    <row r="921" spans="1:6" ht="12.3">
      <c r="A921" s="34"/>
      <c r="B921" s="30"/>
      <c r="C921" s="31"/>
      <c r="D921" s="32" t="str">
        <f>IF(ISBLANK(A921)," ",VLOOKUP(A921,'Product Database'!A:B,2,FALSE))</f>
        <v xml:space="preserve"> </v>
      </c>
      <c r="E921" s="31"/>
      <c r="F921" s="33"/>
    </row>
    <row r="922" spans="1:6" ht="12.3">
      <c r="A922" s="34"/>
      <c r="B922" s="30"/>
      <c r="C922" s="31"/>
      <c r="D922" s="32" t="str">
        <f>IF(ISBLANK(A922)," ",VLOOKUP(A922,'Product Database'!A:B,2,FALSE))</f>
        <v xml:space="preserve"> </v>
      </c>
      <c r="E922" s="31"/>
      <c r="F922" s="33"/>
    </row>
    <row r="923" spans="1:6" ht="12.3">
      <c r="A923" s="34"/>
      <c r="B923" s="30"/>
      <c r="C923" s="31"/>
      <c r="D923" s="32" t="str">
        <f>IF(ISBLANK(A923)," ",VLOOKUP(A923,'Product Database'!A:B,2,FALSE))</f>
        <v xml:space="preserve"> </v>
      </c>
      <c r="E923" s="31"/>
      <c r="F923" s="33"/>
    </row>
    <row r="924" spans="1:6" ht="12.3">
      <c r="A924" s="34"/>
      <c r="B924" s="30"/>
      <c r="C924" s="31"/>
      <c r="D924" s="32" t="str">
        <f>IF(ISBLANK(A924)," ",VLOOKUP(A924,'Product Database'!A:B,2,FALSE))</f>
        <v xml:space="preserve"> </v>
      </c>
      <c r="E924" s="31"/>
      <c r="F924" s="33"/>
    </row>
    <row r="925" spans="1:6" ht="12.3">
      <c r="A925" s="34"/>
      <c r="B925" s="30"/>
      <c r="C925" s="31"/>
      <c r="D925" s="32" t="str">
        <f>IF(ISBLANK(A925)," ",VLOOKUP(A925,'Product Database'!A:B,2,FALSE))</f>
        <v xml:space="preserve"> </v>
      </c>
      <c r="E925" s="31"/>
      <c r="F925" s="33"/>
    </row>
    <row r="926" spans="1:6" ht="12.3">
      <c r="A926" s="34"/>
      <c r="B926" s="30"/>
      <c r="C926" s="31"/>
      <c r="D926" s="32" t="str">
        <f>IF(ISBLANK(A926)," ",VLOOKUP(A926,'Product Database'!A:B,2,FALSE))</f>
        <v xml:space="preserve"> </v>
      </c>
      <c r="E926" s="31"/>
      <c r="F926" s="33"/>
    </row>
    <row r="927" spans="1:6" ht="12.3">
      <c r="A927" s="34"/>
      <c r="B927" s="30"/>
      <c r="C927" s="31"/>
      <c r="D927" s="32" t="str">
        <f>IF(ISBLANK(A927)," ",VLOOKUP(A927,'Product Database'!A:B,2,FALSE))</f>
        <v xml:space="preserve"> </v>
      </c>
      <c r="E927" s="31"/>
      <c r="F927" s="33"/>
    </row>
    <row r="928" spans="1:6" ht="12.3">
      <c r="A928" s="34"/>
      <c r="B928" s="30"/>
      <c r="C928" s="31"/>
      <c r="D928" s="32" t="str">
        <f>IF(ISBLANK(A928)," ",VLOOKUP(A928,'Product Database'!A:B,2,FALSE))</f>
        <v xml:space="preserve"> </v>
      </c>
      <c r="E928" s="31"/>
      <c r="F928" s="33"/>
    </row>
    <row r="929" spans="1:6" ht="12.3">
      <c r="A929" s="34"/>
      <c r="B929" s="30"/>
      <c r="C929" s="31"/>
      <c r="D929" s="32" t="str">
        <f>IF(ISBLANK(A929)," ",VLOOKUP(A929,'Product Database'!A:B,2,FALSE))</f>
        <v xml:space="preserve"> </v>
      </c>
      <c r="E929" s="31"/>
      <c r="F929" s="33"/>
    </row>
    <row r="930" spans="1:6" ht="12.3">
      <c r="A930" s="34"/>
      <c r="B930" s="30"/>
      <c r="C930" s="31"/>
      <c r="D930" s="32" t="str">
        <f>IF(ISBLANK(A930)," ",VLOOKUP(A930,'Product Database'!A:B,2,FALSE))</f>
        <v xml:space="preserve"> </v>
      </c>
      <c r="E930" s="31"/>
      <c r="F930" s="33"/>
    </row>
    <row r="931" spans="1:6" ht="12.3">
      <c r="A931" s="34"/>
      <c r="B931" s="30"/>
      <c r="C931" s="31"/>
      <c r="D931" s="32" t="str">
        <f>IF(ISBLANK(A931)," ",VLOOKUP(A931,'Product Database'!A:B,2,FALSE))</f>
        <v xml:space="preserve"> </v>
      </c>
      <c r="E931" s="31"/>
      <c r="F931" s="33"/>
    </row>
    <row r="932" spans="1:6" ht="12.3">
      <c r="A932" s="34"/>
      <c r="B932" s="30"/>
      <c r="C932" s="31"/>
      <c r="D932" s="32" t="str">
        <f>IF(ISBLANK(A932)," ",VLOOKUP(A932,'Product Database'!A:B,2,FALSE))</f>
        <v xml:space="preserve"> </v>
      </c>
      <c r="E932" s="31"/>
      <c r="F932" s="33"/>
    </row>
    <row r="933" spans="1:6" ht="12.3">
      <c r="A933" s="34"/>
      <c r="B933" s="30"/>
      <c r="C933" s="31"/>
      <c r="D933" s="32" t="str">
        <f>IF(ISBLANK(A933)," ",VLOOKUP(A933,'Product Database'!A:B,2,FALSE))</f>
        <v xml:space="preserve"> </v>
      </c>
      <c r="E933" s="31"/>
      <c r="F933" s="33"/>
    </row>
    <row r="934" spans="1:6" ht="12.3">
      <c r="A934" s="34"/>
      <c r="B934" s="30"/>
      <c r="C934" s="31"/>
      <c r="D934" s="32" t="str">
        <f>IF(ISBLANK(A934)," ",VLOOKUP(A934,'Product Database'!A:B,2,FALSE))</f>
        <v xml:space="preserve"> </v>
      </c>
      <c r="E934" s="31"/>
      <c r="F934" s="33"/>
    </row>
    <row r="935" spans="1:6" ht="12.3">
      <c r="A935" s="34"/>
      <c r="B935" s="30"/>
      <c r="C935" s="31"/>
      <c r="D935" s="32" t="str">
        <f>IF(ISBLANK(A935)," ",VLOOKUP(A935,'Product Database'!A:B,2,FALSE))</f>
        <v xml:space="preserve"> </v>
      </c>
      <c r="E935" s="31"/>
      <c r="F935" s="33"/>
    </row>
    <row r="936" spans="1:6" ht="12.3">
      <c r="A936" s="34"/>
      <c r="B936" s="30"/>
      <c r="C936" s="31"/>
      <c r="D936" s="32" t="str">
        <f>IF(ISBLANK(A936)," ",VLOOKUP(A936,'Product Database'!A:B,2,FALSE))</f>
        <v xml:space="preserve"> </v>
      </c>
      <c r="E936" s="31"/>
      <c r="F936" s="33"/>
    </row>
    <row r="937" spans="1:6" ht="12.3">
      <c r="A937" s="34"/>
      <c r="B937" s="30"/>
      <c r="C937" s="31"/>
      <c r="D937" s="32" t="str">
        <f>IF(ISBLANK(A937)," ",VLOOKUP(A937,'Product Database'!A:B,2,FALSE))</f>
        <v xml:space="preserve"> </v>
      </c>
      <c r="E937" s="31"/>
      <c r="F937" s="33"/>
    </row>
    <row r="938" spans="1:6" ht="12.3">
      <c r="A938" s="34"/>
      <c r="B938" s="30"/>
      <c r="C938" s="31"/>
      <c r="D938" s="32" t="str">
        <f>IF(ISBLANK(A938)," ",VLOOKUP(A938,'Product Database'!A:B,2,FALSE))</f>
        <v xml:space="preserve"> </v>
      </c>
      <c r="E938" s="31"/>
      <c r="F938" s="33"/>
    </row>
    <row r="939" spans="1:6" ht="12.3">
      <c r="A939" s="34"/>
      <c r="B939" s="30"/>
      <c r="C939" s="31"/>
      <c r="D939" s="32" t="str">
        <f>IF(ISBLANK(A939)," ",VLOOKUP(A939,'Product Database'!A:B,2,FALSE))</f>
        <v xml:space="preserve"> </v>
      </c>
      <c r="E939" s="31"/>
      <c r="F939" s="33"/>
    </row>
    <row r="940" spans="1:6" ht="12.3">
      <c r="A940" s="34"/>
      <c r="B940" s="30"/>
      <c r="C940" s="31"/>
      <c r="D940" s="32" t="str">
        <f>IF(ISBLANK(A940)," ",VLOOKUP(A940,'Product Database'!A:B,2,FALSE))</f>
        <v xml:space="preserve"> </v>
      </c>
      <c r="E940" s="31"/>
      <c r="F940" s="33"/>
    </row>
    <row r="941" spans="1:6" ht="12.3">
      <c r="A941" s="34"/>
      <c r="B941" s="30"/>
      <c r="C941" s="31"/>
      <c r="D941" s="32" t="str">
        <f>IF(ISBLANK(A941)," ",VLOOKUP(A941,'Product Database'!A:B,2,FALSE))</f>
        <v xml:space="preserve"> </v>
      </c>
      <c r="E941" s="31"/>
      <c r="F941" s="33"/>
    </row>
    <row r="942" spans="1:6" ht="12.3">
      <c r="A942" s="34"/>
      <c r="B942" s="30"/>
      <c r="C942" s="31"/>
      <c r="D942" s="32" t="str">
        <f>IF(ISBLANK(A942)," ",VLOOKUP(A942,'Product Database'!A:B,2,FALSE))</f>
        <v xml:space="preserve"> </v>
      </c>
      <c r="E942" s="31"/>
      <c r="F942" s="33"/>
    </row>
    <row r="943" spans="1:6" ht="12.3">
      <c r="A943" s="34"/>
      <c r="B943" s="30"/>
      <c r="C943" s="31"/>
      <c r="D943" s="32" t="str">
        <f>IF(ISBLANK(A943)," ",VLOOKUP(A943,'Product Database'!A:B,2,FALSE))</f>
        <v xml:space="preserve"> </v>
      </c>
      <c r="E943" s="31"/>
      <c r="F943" s="33"/>
    </row>
    <row r="944" spans="1:6" ht="12.3">
      <c r="A944" s="34"/>
      <c r="B944" s="30"/>
      <c r="C944" s="31"/>
      <c r="D944" s="32" t="str">
        <f>IF(ISBLANK(A944)," ",VLOOKUP(A944,'Product Database'!A:B,2,FALSE))</f>
        <v xml:space="preserve"> </v>
      </c>
      <c r="E944" s="31"/>
      <c r="F944" s="33"/>
    </row>
    <row r="945" spans="1:6" ht="12.3">
      <c r="A945" s="34"/>
      <c r="B945" s="30"/>
      <c r="C945" s="31"/>
      <c r="D945" s="32" t="str">
        <f>IF(ISBLANK(A945)," ",VLOOKUP(A945,'Product Database'!A:B,2,FALSE))</f>
        <v xml:space="preserve"> </v>
      </c>
      <c r="E945" s="31"/>
      <c r="F945" s="33"/>
    </row>
    <row r="946" spans="1:6" ht="12.3">
      <c r="A946" s="34"/>
      <c r="B946" s="30"/>
      <c r="C946" s="31"/>
      <c r="D946" s="32" t="str">
        <f>IF(ISBLANK(A946)," ",VLOOKUP(A946,'Product Database'!A:B,2,FALSE))</f>
        <v xml:space="preserve"> </v>
      </c>
      <c r="E946" s="31"/>
      <c r="F946" s="33"/>
    </row>
    <row r="947" spans="1:6" ht="12.3">
      <c r="A947" s="34"/>
      <c r="B947" s="30"/>
      <c r="C947" s="31"/>
      <c r="D947" s="32" t="str">
        <f>IF(ISBLANK(A947)," ",VLOOKUP(A947,'Product Database'!A:B,2,FALSE))</f>
        <v xml:space="preserve"> </v>
      </c>
      <c r="E947" s="31"/>
      <c r="F947" s="33"/>
    </row>
    <row r="948" spans="1:6" ht="12.3">
      <c r="A948" s="34"/>
      <c r="B948" s="30"/>
      <c r="C948" s="31"/>
      <c r="D948" s="32" t="str">
        <f>IF(ISBLANK(A948)," ",VLOOKUP(A948,'Product Database'!A:B,2,FALSE))</f>
        <v xml:space="preserve"> </v>
      </c>
      <c r="E948" s="31"/>
      <c r="F948" s="33"/>
    </row>
    <row r="949" spans="1:6" ht="12.3">
      <c r="A949" s="34"/>
      <c r="B949" s="30"/>
      <c r="C949" s="31"/>
      <c r="D949" s="32" t="str">
        <f>IF(ISBLANK(A949)," ",VLOOKUP(A949,'Product Database'!A:B,2,FALSE))</f>
        <v xml:space="preserve"> </v>
      </c>
      <c r="E949" s="31"/>
      <c r="F949" s="33"/>
    </row>
    <row r="950" spans="1:6" ht="12.3">
      <c r="A950" s="34"/>
      <c r="B950" s="30"/>
      <c r="C950" s="31"/>
      <c r="D950" s="32" t="str">
        <f>IF(ISBLANK(A950)," ",VLOOKUP(A950,'Product Database'!A:B,2,FALSE))</f>
        <v xml:space="preserve"> </v>
      </c>
      <c r="E950" s="31"/>
      <c r="F950" s="33"/>
    </row>
    <row r="951" spans="1:6" ht="12.3">
      <c r="A951" s="34"/>
      <c r="B951" s="30"/>
      <c r="C951" s="31"/>
      <c r="D951" s="32" t="str">
        <f>IF(ISBLANK(A951)," ",VLOOKUP(A951,'Product Database'!A:B,2,FALSE))</f>
        <v xml:space="preserve"> </v>
      </c>
      <c r="E951" s="31"/>
      <c r="F951" s="33"/>
    </row>
    <row r="952" spans="1:6" ht="12.3">
      <c r="A952" s="34"/>
      <c r="B952" s="30"/>
      <c r="C952" s="31"/>
      <c r="D952" s="32" t="str">
        <f>IF(ISBLANK(A952)," ",VLOOKUP(A952,'Product Database'!A:B,2,FALSE))</f>
        <v xml:space="preserve"> </v>
      </c>
      <c r="E952" s="31"/>
      <c r="F952" s="33"/>
    </row>
    <row r="953" spans="1:6" ht="12.3">
      <c r="A953" s="34"/>
      <c r="B953" s="30"/>
      <c r="C953" s="31"/>
      <c r="D953" s="32" t="str">
        <f>IF(ISBLANK(A953)," ",VLOOKUP(A953,'Product Database'!A:B,2,FALSE))</f>
        <v xml:space="preserve"> </v>
      </c>
      <c r="E953" s="31"/>
      <c r="F953" s="33"/>
    </row>
    <row r="954" spans="1:6" ht="12.3">
      <c r="A954" s="34"/>
      <c r="B954" s="30"/>
      <c r="C954" s="31"/>
      <c r="D954" s="32" t="str">
        <f>IF(ISBLANK(A954)," ",VLOOKUP(A954,'Product Database'!A:B,2,FALSE))</f>
        <v xml:space="preserve"> </v>
      </c>
      <c r="E954" s="31"/>
      <c r="F954" s="33"/>
    </row>
    <row r="955" spans="1:6" ht="12.3">
      <c r="A955" s="34"/>
      <c r="B955" s="30"/>
      <c r="C955" s="31"/>
      <c r="D955" s="32" t="str">
        <f>IF(ISBLANK(A955)," ",VLOOKUP(A955,'Product Database'!A:B,2,FALSE))</f>
        <v xml:space="preserve"> </v>
      </c>
      <c r="E955" s="31"/>
      <c r="F955" s="33"/>
    </row>
    <row r="956" spans="1:6" ht="12.3">
      <c r="A956" s="34"/>
      <c r="B956" s="30"/>
      <c r="C956" s="31"/>
      <c r="D956" s="32" t="str">
        <f>IF(ISBLANK(A956)," ",VLOOKUP(A956,'Product Database'!A:B,2,FALSE))</f>
        <v xml:space="preserve"> </v>
      </c>
      <c r="E956" s="31"/>
      <c r="F956" s="33"/>
    </row>
    <row r="957" spans="1:6" ht="12.3">
      <c r="A957" s="34"/>
      <c r="B957" s="30"/>
      <c r="C957" s="31"/>
      <c r="D957" s="32" t="str">
        <f>IF(ISBLANK(A957)," ",VLOOKUP(A957,'Product Database'!A:B,2,FALSE))</f>
        <v xml:space="preserve"> </v>
      </c>
      <c r="E957" s="31"/>
      <c r="F957" s="33"/>
    </row>
    <row r="958" spans="1:6" ht="12.3">
      <c r="A958" s="34"/>
      <c r="B958" s="30"/>
      <c r="C958" s="31"/>
      <c r="D958" s="32" t="str">
        <f>IF(ISBLANK(A958)," ",VLOOKUP(A958,'Product Database'!A:B,2,FALSE))</f>
        <v xml:space="preserve"> </v>
      </c>
      <c r="E958" s="31"/>
      <c r="F958" s="33"/>
    </row>
    <row r="959" spans="1:6" ht="12.3">
      <c r="A959" s="34"/>
      <c r="B959" s="30"/>
      <c r="C959" s="31"/>
      <c r="D959" s="32" t="str">
        <f>IF(ISBLANK(A959)," ",VLOOKUP(A959,'Product Database'!A:B,2,FALSE))</f>
        <v xml:space="preserve"> </v>
      </c>
      <c r="E959" s="31"/>
      <c r="F959" s="33"/>
    </row>
    <row r="960" spans="1:6" ht="12.3">
      <c r="A960" s="34"/>
      <c r="B960" s="30"/>
      <c r="C960" s="31"/>
      <c r="D960" s="32" t="str">
        <f>IF(ISBLANK(A960)," ",VLOOKUP(A960,'Product Database'!A:B,2,FALSE))</f>
        <v xml:space="preserve"> </v>
      </c>
      <c r="E960" s="31"/>
      <c r="F960" s="33"/>
    </row>
    <row r="961" spans="1:6" ht="12.3">
      <c r="A961" s="34"/>
      <c r="B961" s="30"/>
      <c r="C961" s="31"/>
      <c r="D961" s="32" t="str">
        <f>IF(ISBLANK(A961)," ",VLOOKUP(A961,'Product Database'!A:B,2,FALSE))</f>
        <v xml:space="preserve"> </v>
      </c>
      <c r="E961" s="31"/>
      <c r="F961" s="33"/>
    </row>
    <row r="962" spans="1:6" ht="12.3">
      <c r="A962" s="34"/>
      <c r="B962" s="30"/>
      <c r="C962" s="31"/>
      <c r="D962" s="32" t="str">
        <f>IF(ISBLANK(A962)," ",VLOOKUP(A962,'Product Database'!A:B,2,FALSE))</f>
        <v xml:space="preserve"> </v>
      </c>
      <c r="E962" s="31"/>
      <c r="F962" s="33"/>
    </row>
    <row r="963" spans="1:6" ht="12.3">
      <c r="A963" s="34"/>
      <c r="B963" s="30"/>
      <c r="C963" s="31"/>
      <c r="D963" s="32" t="str">
        <f>IF(ISBLANK(A963)," ",VLOOKUP(A963,'Product Database'!A:B,2,FALSE))</f>
        <v xml:space="preserve"> </v>
      </c>
      <c r="E963" s="31"/>
      <c r="F963" s="33"/>
    </row>
    <row r="964" spans="1:6" ht="12.3">
      <c r="A964" s="34"/>
      <c r="B964" s="30"/>
      <c r="C964" s="31"/>
      <c r="D964" s="32" t="str">
        <f>IF(ISBLANK(A964)," ",VLOOKUP(A964,'Product Database'!A:B,2,FALSE))</f>
        <v xml:space="preserve"> </v>
      </c>
      <c r="E964" s="31"/>
      <c r="F964" s="33"/>
    </row>
    <row r="965" spans="1:6" ht="12.3">
      <c r="A965" s="34"/>
      <c r="B965" s="30"/>
      <c r="C965" s="31"/>
      <c r="D965" s="32" t="str">
        <f>IF(ISBLANK(A965)," ",VLOOKUP(A965,'Product Database'!A:B,2,FALSE))</f>
        <v xml:space="preserve"> </v>
      </c>
      <c r="E965" s="31"/>
      <c r="F965" s="33"/>
    </row>
    <row r="966" spans="1:6" ht="12.3">
      <c r="A966" s="34"/>
      <c r="B966" s="30"/>
      <c r="C966" s="31"/>
      <c r="D966" s="32" t="str">
        <f>IF(ISBLANK(A966)," ",VLOOKUP(A966,'Product Database'!A:B,2,FALSE))</f>
        <v xml:space="preserve"> </v>
      </c>
      <c r="E966" s="31"/>
      <c r="F966" s="33"/>
    </row>
    <row r="967" spans="1:6" ht="12.3">
      <c r="A967" s="34"/>
      <c r="B967" s="30"/>
      <c r="C967" s="31"/>
      <c r="D967" s="32" t="str">
        <f>IF(ISBLANK(A967)," ",VLOOKUP(A967,'Product Database'!A:B,2,FALSE))</f>
        <v xml:space="preserve"> </v>
      </c>
      <c r="E967" s="31"/>
      <c r="F967" s="33"/>
    </row>
    <row r="968" spans="1:6" ht="12.3">
      <c r="A968" s="34"/>
      <c r="B968" s="30"/>
      <c r="C968" s="31"/>
      <c r="D968" s="32" t="str">
        <f>IF(ISBLANK(A968)," ",VLOOKUP(A968,'Product Database'!A:B,2,FALSE))</f>
        <v xml:space="preserve"> </v>
      </c>
      <c r="E968" s="31"/>
      <c r="F968" s="33"/>
    </row>
    <row r="969" spans="1:6" ht="12.3">
      <c r="A969" s="34"/>
      <c r="B969" s="30"/>
      <c r="C969" s="31"/>
      <c r="D969" s="32" t="str">
        <f>IF(ISBLANK(A969)," ",VLOOKUP(A969,'Product Database'!A:B,2,FALSE))</f>
        <v xml:space="preserve"> </v>
      </c>
      <c r="E969" s="31"/>
      <c r="F969" s="33"/>
    </row>
    <row r="970" spans="1:6" ht="12.3">
      <c r="A970" s="34"/>
      <c r="B970" s="30"/>
      <c r="C970" s="31"/>
      <c r="D970" s="32" t="str">
        <f>IF(ISBLANK(A970)," ",VLOOKUP(A970,'Product Database'!A:B,2,FALSE))</f>
        <v xml:space="preserve"> </v>
      </c>
      <c r="E970" s="31"/>
      <c r="F970" s="33"/>
    </row>
    <row r="971" spans="1:6" ht="12.3">
      <c r="A971" s="34"/>
      <c r="B971" s="30"/>
      <c r="C971" s="31"/>
      <c r="D971" s="32" t="str">
        <f>IF(ISBLANK(A971)," ",VLOOKUP(A971,'Product Database'!A:B,2,FALSE))</f>
        <v xml:space="preserve"> </v>
      </c>
      <c r="E971" s="31"/>
      <c r="F971" s="33"/>
    </row>
    <row r="972" spans="1:6" ht="12.3">
      <c r="A972" s="34"/>
      <c r="B972" s="30"/>
      <c r="C972" s="31"/>
      <c r="D972" s="32" t="str">
        <f>IF(ISBLANK(A972)," ",VLOOKUP(A972,'Product Database'!A:B,2,FALSE))</f>
        <v xml:space="preserve"> </v>
      </c>
      <c r="E972" s="31"/>
      <c r="F972" s="33"/>
    </row>
    <row r="973" spans="1:6" ht="12.3">
      <c r="A973" s="34"/>
      <c r="B973" s="30"/>
      <c r="C973" s="31"/>
      <c r="D973" s="32" t="str">
        <f>IF(ISBLANK(A973)," ",VLOOKUP(A973,'Product Database'!A:B,2,FALSE))</f>
        <v xml:space="preserve"> </v>
      </c>
      <c r="E973" s="31"/>
      <c r="F973" s="33"/>
    </row>
    <row r="974" spans="1:6" ht="12.3">
      <c r="A974" s="34"/>
      <c r="B974" s="30"/>
      <c r="C974" s="31"/>
      <c r="D974" s="32" t="str">
        <f>IF(ISBLANK(A974)," ",VLOOKUP(A974,'Product Database'!A:B,2,FALSE))</f>
        <v xml:space="preserve"> </v>
      </c>
      <c r="E974" s="31"/>
      <c r="F974" s="33"/>
    </row>
    <row r="975" spans="1:6" ht="12.3">
      <c r="A975" s="34"/>
      <c r="B975" s="30"/>
      <c r="C975" s="31"/>
      <c r="D975" s="32" t="str">
        <f>IF(ISBLANK(A975)," ",VLOOKUP(A975,'Product Database'!A:B,2,FALSE))</f>
        <v xml:space="preserve"> </v>
      </c>
      <c r="E975" s="31"/>
      <c r="F975" s="33"/>
    </row>
    <row r="976" spans="1:6" ht="12.3">
      <c r="A976" s="34"/>
      <c r="B976" s="30"/>
      <c r="C976" s="31"/>
      <c r="D976" s="32" t="str">
        <f>IF(ISBLANK(A976)," ",VLOOKUP(A976,'Product Database'!A:B,2,FALSE))</f>
        <v xml:space="preserve"> </v>
      </c>
      <c r="E976" s="31"/>
      <c r="F976" s="33"/>
    </row>
    <row r="977" spans="1:6" ht="12.3">
      <c r="A977" s="34"/>
      <c r="B977" s="30"/>
      <c r="C977" s="31"/>
      <c r="D977" s="32" t="str">
        <f>IF(ISBLANK(A977)," ",VLOOKUP(A977,'Product Database'!A:B,2,FALSE))</f>
        <v xml:space="preserve"> </v>
      </c>
      <c r="E977" s="31"/>
      <c r="F977" s="33"/>
    </row>
    <row r="978" spans="1:6" ht="12.3">
      <c r="A978" s="34"/>
      <c r="B978" s="30"/>
      <c r="C978" s="31"/>
      <c r="D978" s="32" t="str">
        <f>IF(ISBLANK(A978)," ",VLOOKUP(A978,'Product Database'!A:B,2,FALSE))</f>
        <v xml:space="preserve"> </v>
      </c>
      <c r="E978" s="31"/>
      <c r="F978" s="33"/>
    </row>
    <row r="979" spans="1:6" ht="12.3">
      <c r="A979" s="34"/>
      <c r="B979" s="30"/>
      <c r="C979" s="31"/>
      <c r="D979" s="32" t="str">
        <f>IF(ISBLANK(A979)," ",VLOOKUP(A979,'Product Database'!A:B,2,FALSE))</f>
        <v xml:space="preserve"> </v>
      </c>
      <c r="E979" s="31"/>
      <c r="F979" s="33"/>
    </row>
    <row r="980" spans="1:6" ht="12.3">
      <c r="A980" s="34"/>
      <c r="B980" s="30"/>
      <c r="C980" s="31"/>
      <c r="D980" s="32" t="str">
        <f>IF(ISBLANK(A980)," ",VLOOKUP(A980,'Product Database'!A:B,2,FALSE))</f>
        <v xml:space="preserve"> </v>
      </c>
      <c r="E980" s="31"/>
      <c r="F980" s="33"/>
    </row>
    <row r="981" spans="1:6" ht="12.3">
      <c r="A981" s="34"/>
      <c r="B981" s="30"/>
      <c r="C981" s="31"/>
      <c r="D981" s="32" t="str">
        <f>IF(ISBLANK(A981)," ",VLOOKUP(A981,'Product Database'!A:B,2,FALSE))</f>
        <v xml:space="preserve"> </v>
      </c>
      <c r="E981" s="31"/>
      <c r="F981" s="33"/>
    </row>
    <row r="982" spans="1:6" ht="12.3">
      <c r="A982" s="34"/>
      <c r="B982" s="30"/>
      <c r="C982" s="31"/>
      <c r="D982" s="32" t="str">
        <f>IF(ISBLANK(A982)," ",VLOOKUP(A982,'Product Database'!A:B,2,FALSE))</f>
        <v xml:space="preserve"> </v>
      </c>
      <c r="E982" s="31"/>
      <c r="F982" s="33"/>
    </row>
    <row r="983" spans="1:6" ht="12.3">
      <c r="A983" s="34"/>
      <c r="B983" s="30"/>
      <c r="C983" s="31"/>
      <c r="D983" s="32" t="str">
        <f>IF(ISBLANK(A983)," ",VLOOKUP(A983,'Product Database'!A:B,2,FALSE))</f>
        <v xml:space="preserve"> </v>
      </c>
      <c r="E983" s="31"/>
      <c r="F983" s="33"/>
    </row>
    <row r="984" spans="1:6" ht="12.3">
      <c r="A984" s="34"/>
      <c r="B984" s="30"/>
      <c r="C984" s="31"/>
      <c r="D984" s="32" t="str">
        <f>IF(ISBLANK(A984)," ",VLOOKUP(A984,'Product Database'!A:B,2,FALSE))</f>
        <v xml:space="preserve"> </v>
      </c>
      <c r="E984" s="31"/>
      <c r="F984" s="33"/>
    </row>
    <row r="985" spans="1:6" ht="12.3">
      <c r="A985" s="34"/>
      <c r="B985" s="30"/>
      <c r="C985" s="31"/>
      <c r="D985" s="32" t="str">
        <f>IF(ISBLANK(A985)," ",VLOOKUP(A985,'Product Database'!A:B,2,FALSE))</f>
        <v xml:space="preserve"> </v>
      </c>
      <c r="E985" s="31"/>
      <c r="F985" s="33"/>
    </row>
    <row r="986" spans="1:6" ht="12.3">
      <c r="A986" s="34"/>
      <c r="B986" s="30"/>
      <c r="C986" s="31"/>
      <c r="D986" s="32" t="str">
        <f>IF(ISBLANK(A986)," ",VLOOKUP(A986,'Product Database'!A:B,2,FALSE))</f>
        <v xml:space="preserve"> </v>
      </c>
      <c r="E986" s="31"/>
      <c r="F986" s="33"/>
    </row>
    <row r="987" spans="1:6" ht="12.3">
      <c r="A987" s="34"/>
      <c r="B987" s="30"/>
      <c r="C987" s="31"/>
      <c r="D987" s="32" t="str">
        <f>IF(ISBLANK(A987)," ",VLOOKUP(A987,'Product Database'!A:B,2,FALSE))</f>
        <v xml:space="preserve"> </v>
      </c>
      <c r="E987" s="31"/>
      <c r="F987" s="33"/>
    </row>
    <row r="988" spans="1:6" ht="12.3">
      <c r="A988" s="34"/>
      <c r="B988" s="30"/>
      <c r="C988" s="31"/>
      <c r="D988" s="32" t="str">
        <f>IF(ISBLANK(A988)," ",VLOOKUP(A988,'Product Database'!A:B,2,FALSE))</f>
        <v xml:space="preserve"> </v>
      </c>
      <c r="E988" s="31"/>
      <c r="F988" s="33"/>
    </row>
    <row r="989" spans="1:6" ht="12.3">
      <c r="A989" s="34"/>
      <c r="B989" s="30"/>
      <c r="C989" s="31"/>
      <c r="D989" s="32" t="str">
        <f>IF(ISBLANK(A989)," ",VLOOKUP(A989,'Product Database'!A:B,2,FALSE))</f>
        <v xml:space="preserve"> </v>
      </c>
      <c r="E989" s="31"/>
      <c r="F989" s="33"/>
    </row>
    <row r="990" spans="1:6" ht="12.3">
      <c r="A990" s="34"/>
      <c r="B990" s="30"/>
      <c r="C990" s="31"/>
      <c r="D990" s="32" t="str">
        <f>IF(ISBLANK(A990)," ",VLOOKUP(A990,'Product Database'!A:B,2,FALSE))</f>
        <v xml:space="preserve"> </v>
      </c>
      <c r="E990" s="31"/>
      <c r="F990" s="33"/>
    </row>
    <row r="991" spans="1:6" ht="12.3">
      <c r="A991" s="34"/>
      <c r="B991" s="30"/>
      <c r="C991" s="31"/>
      <c r="D991" s="32" t="str">
        <f>IF(ISBLANK(A991)," ",VLOOKUP(A991,'Product Database'!A:B,2,FALSE))</f>
        <v xml:space="preserve"> </v>
      </c>
      <c r="E991" s="31"/>
      <c r="F991" s="33"/>
    </row>
    <row r="992" spans="1:6" ht="12.3">
      <c r="A992" s="34"/>
      <c r="B992" s="30"/>
      <c r="C992" s="31"/>
      <c r="D992" s="32" t="str">
        <f>IF(ISBLANK(A992)," ",VLOOKUP(A992,'Product Database'!A:B,2,FALSE))</f>
        <v xml:space="preserve"> </v>
      </c>
      <c r="E992" s="31"/>
      <c r="F992" s="33"/>
    </row>
    <row r="993" spans="1:6" ht="12.3">
      <c r="A993" s="34"/>
      <c r="B993" s="30"/>
      <c r="C993" s="31"/>
      <c r="D993" s="32" t="str">
        <f>IF(ISBLANK(A993)," ",VLOOKUP(A993,'Product Database'!A:B,2,FALSE))</f>
        <v xml:space="preserve"> </v>
      </c>
      <c r="E993" s="31"/>
      <c r="F993" s="33"/>
    </row>
    <row r="994" spans="1:6" ht="12.3">
      <c r="A994" s="34"/>
      <c r="B994" s="30"/>
      <c r="C994" s="31"/>
      <c r="D994" s="32" t="str">
        <f>IF(ISBLANK(A994)," ",VLOOKUP(A994,'Product Database'!A:B,2,FALSE))</f>
        <v xml:space="preserve"> </v>
      </c>
      <c r="E994" s="31"/>
      <c r="F994" s="33"/>
    </row>
    <row r="995" spans="1:6" ht="12.3">
      <c r="A995" s="34"/>
      <c r="B995" s="30"/>
      <c r="C995" s="31"/>
      <c r="D995" s="32" t="str">
        <f>IF(ISBLANK(A995)," ",VLOOKUP(A995,'Product Database'!A:B,2,FALSE))</f>
        <v xml:space="preserve"> </v>
      </c>
      <c r="E995" s="31"/>
      <c r="F995" s="33"/>
    </row>
    <row r="996" spans="1:6" ht="12.3">
      <c r="A996" s="34"/>
      <c r="B996" s="30"/>
      <c r="C996" s="31"/>
      <c r="D996" s="32" t="str">
        <f>IF(ISBLANK(A996)," ",VLOOKUP(A996,'Product Database'!A:B,2,FALSE))</f>
        <v xml:space="preserve"> </v>
      </c>
      <c r="E996" s="31"/>
      <c r="F996" s="33"/>
    </row>
    <row r="997" spans="1:6" ht="12.3">
      <c r="A997" s="34"/>
      <c r="B997" s="30"/>
      <c r="C997" s="31"/>
      <c r="D997" s="32" t="str">
        <f>IF(ISBLANK(A997)," ",VLOOKUP(A997,'Product Database'!A:B,2,FALSE))</f>
        <v xml:space="preserve"> </v>
      </c>
      <c r="E997" s="31"/>
      <c r="F997" s="33"/>
    </row>
    <row r="998" spans="1:6" ht="12.3">
      <c r="A998" s="34"/>
      <c r="B998" s="30"/>
      <c r="C998" s="31"/>
      <c r="D998" s="32" t="str">
        <f>IF(ISBLANK(A998)," ",VLOOKUP(A998,'Product Database'!A:B,2,FALSE))</f>
        <v xml:space="preserve"> </v>
      </c>
      <c r="E998" s="31"/>
      <c r="F998" s="33"/>
    </row>
    <row r="999" spans="1:6" ht="12.3">
      <c r="A999" s="34"/>
      <c r="B999" s="30"/>
      <c r="C999" s="31"/>
      <c r="D999" s="32" t="str">
        <f>IF(ISBLANK(A999)," ",VLOOKUP(A999,'Product Database'!A:B,2,FALSE))</f>
        <v xml:space="preserve"> </v>
      </c>
      <c r="E999" s="31"/>
      <c r="F999" s="33"/>
    </row>
    <row r="1000" spans="1:6" ht="12.3">
      <c r="A1000" s="35"/>
      <c r="B1000" s="36"/>
      <c r="C1000" s="37"/>
      <c r="D1000" s="32" t="str">
        <f>IF(ISBLANK(A1000)," ",VLOOKUP(A1000,'Product Database'!A:B,2,FALSE))</f>
        <v xml:space="preserve"> </v>
      </c>
      <c r="E1000" s="37"/>
      <c r="F1000" s="38"/>
    </row>
  </sheetData>
  <mergeCells count="1">
    <mergeCell ref="G1:I1048576"/>
  </mergeCells>
  <phoneticPr fontId="10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Button1_Click" altText="ADD">
                <anchor moveWithCells="1">
                  <from>
                    <xdr:col>6</xdr:col>
                    <xdr:colOff>19050</xdr:colOff>
                    <xdr:row>0</xdr:row>
                    <xdr:rowOff>22860</xdr:rowOff>
                  </from>
                  <to>
                    <xdr:col>8</xdr:col>
                    <xdr:colOff>491490</xdr:colOff>
                    <xdr:row>95</xdr:row>
                    <xdr:rowOff>118110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AEA234-7B7D-49D5-A0EB-BF751672DB8A}">
  <sheetPr codeName="Sheet5">
    <outlinePr summaryBelow="0" summaryRight="0"/>
    <pageSetUpPr fitToPage="1"/>
  </sheetPr>
  <dimension ref="A1:XFD1000"/>
  <sheetViews>
    <sheetView tabSelected="1" zoomScale="85" zoomScaleNormal="85" workbookViewId="0">
      <selection activeCell="E5" sqref="E5"/>
    </sheetView>
  </sheetViews>
  <sheetFormatPr defaultColWidth="0" defaultRowHeight="15.75" customHeight="1"/>
  <cols>
    <col min="1" max="1" width="15.109375" customWidth="1"/>
    <col min="2" max="2" width="59.21875" customWidth="1"/>
    <col min="3" max="4" width="12.609375" customWidth="1"/>
    <col min="5" max="5" width="13.88671875" customWidth="1"/>
    <col min="6" max="6" width="12.609375" hidden="1"/>
    <col min="8" max="16383" width="12.609375" hidden="1"/>
    <col min="16384" max="16384" width="0.609375" hidden="1" customWidth="1"/>
  </cols>
  <sheetData>
    <row r="1" spans="1:5" ht="12.3">
      <c r="A1" s="50" t="s">
        <v>109</v>
      </c>
    </row>
    <row r="2" spans="1:5" ht="12.3">
      <c r="A2" s="50" t="s">
        <v>110</v>
      </c>
      <c r="B2" s="14"/>
      <c r="C2" s="50" t="s">
        <v>111</v>
      </c>
      <c r="D2" s="15">
        <f>C5</f>
        <v>19</v>
      </c>
    </row>
    <row r="3" spans="1:5" ht="12.3">
      <c r="A3" s="16"/>
      <c r="B3" s="17"/>
      <c r="C3" s="16"/>
      <c r="D3" s="16"/>
      <c r="E3" s="16"/>
    </row>
    <row r="4" spans="1:5" ht="12.3">
      <c r="A4" s="18" t="s">
        <v>114</v>
      </c>
      <c r="B4" s="18" t="s">
        <v>113</v>
      </c>
      <c r="C4" s="18" t="s">
        <v>0</v>
      </c>
      <c r="D4" s="18" t="s">
        <v>112</v>
      </c>
      <c r="E4" s="19" t="s">
        <v>125</v>
      </c>
    </row>
    <row r="5" spans="1:5" ht="12.3">
      <c r="A5" s="43" t="s">
        <v>1</v>
      </c>
      <c r="B5" s="44"/>
      <c r="C5" s="20">
        <f>SUM(C6:C1000)</f>
        <v>19</v>
      </c>
      <c r="D5" s="21"/>
      <c r="E5" s="22">
        <f>SUM(E6:E103)</f>
        <v>12800</v>
      </c>
    </row>
    <row r="6" spans="1:5" ht="12.3">
      <c r="A6" s="23" cm="1">
        <f t="array" ref="A6:A9">_xlfn._xlws.SORT(_xlfn.UNIQUE(_xlfn._xlws.FILTER(Input!A2:A1000, Input!A2:A1000 &lt;&gt; ""),FALSE,FALSE),,)</f>
        <v>1</v>
      </c>
      <c r="B6" s="23" t="str">
        <f>IF(ISBLANK(A6)," ",VLOOKUP(A6,'Product Database'!A:B,2,FALSE))</f>
        <v>While</v>
      </c>
      <c r="C6" s="24">
        <f>IF(ISBLANK(A6),"",SUMIF(Input!A:A,A6,Input!B:B))</f>
        <v>12</v>
      </c>
      <c r="D6" s="25">
        <v>1000</v>
      </c>
      <c r="E6" s="22">
        <f>IF(ISBLANK(A6)," ",C6*D6)</f>
        <v>12000</v>
      </c>
    </row>
    <row r="7" spans="1:5" ht="12.3">
      <c r="A7" s="42">
        <v>2</v>
      </c>
      <c r="B7" s="23" t="str">
        <f>IF(ISBLANK(A7)," ",VLOOKUP(A7,'Product Database'!A:B,2,FALSE))</f>
        <v>Color</v>
      </c>
      <c r="C7" s="24">
        <f>IF(ISBLANK(A7),"",SUMIF(Input!A:A,A7,Input!B:B))</f>
        <v>1</v>
      </c>
      <c r="D7" s="25">
        <v>400</v>
      </c>
      <c r="E7" s="22">
        <f>IF(ISBLANK(A7)," ",C7*D7)</f>
        <v>400</v>
      </c>
    </row>
    <row r="8" spans="1:5" ht="12.3">
      <c r="A8" s="23">
        <v>3</v>
      </c>
      <c r="B8" s="23" t="str">
        <f>IF(ISBLANK(A8)," ",VLOOKUP(A8,'Product Database'!A:B,2,FALSE))</f>
        <v>Four</v>
      </c>
      <c r="C8" s="24">
        <f>IF(ISBLANK(A8),"",SUMIF(Input!A:A,A8,Input!B:B))</f>
        <v>2</v>
      </c>
      <c r="D8" s="25">
        <v>200</v>
      </c>
      <c r="E8" s="22">
        <f t="shared" ref="E8:E261" si="0">IF(ISBLANK(A8)," ",C8*D8)</f>
        <v>400</v>
      </c>
    </row>
    <row r="9" spans="1:5" ht="12.3">
      <c r="A9" s="23">
        <v>50</v>
      </c>
      <c r="B9" s="23" t="str">
        <f>IF(ISBLANK(A9)," ",VLOOKUP(A9,'Product Database'!A:B,2,FALSE))</f>
        <v>Recently</v>
      </c>
      <c r="C9" s="24">
        <f>IF(ISBLANK(A9),"",SUMIF(Input!A:A,A9,Input!B:B))</f>
        <v>4</v>
      </c>
      <c r="D9" s="25"/>
      <c r="E9" s="22">
        <f t="shared" si="0"/>
        <v>0</v>
      </c>
    </row>
    <row r="10" spans="1:5" ht="12.3">
      <c r="A10" s="23"/>
      <c r="B10" s="23" t="str">
        <f>IF(ISBLANK(A10)," ",VLOOKUP(A10,'Product Database'!A:B,2,FALSE))</f>
        <v xml:space="preserve"> </v>
      </c>
      <c r="C10" s="24" t="str">
        <f>IF(ISBLANK(A10),"",SUMIF(Input!A:A,A10,Input!B:B))</f>
        <v/>
      </c>
      <c r="D10" s="25"/>
      <c r="E10" s="22" t="str">
        <f t="shared" si="0"/>
        <v xml:space="preserve"> </v>
      </c>
    </row>
    <row r="11" spans="1:5" ht="12.3">
      <c r="A11" s="23"/>
      <c r="B11" s="23" t="str">
        <f>IF(ISBLANK(A11)," ",VLOOKUP(A11,'Product Database'!A:B,2,FALSE))</f>
        <v xml:space="preserve"> </v>
      </c>
      <c r="C11" s="24" t="str">
        <f>IF(ISBLANK(A11),"",SUMIF(Input!A:A,A11,Input!B:B))</f>
        <v/>
      </c>
      <c r="D11" s="25"/>
      <c r="E11" s="22" t="str">
        <f t="shared" si="0"/>
        <v xml:space="preserve"> </v>
      </c>
    </row>
    <row r="12" spans="1:5" ht="12.3">
      <c r="A12" s="23"/>
      <c r="B12" s="23" t="str">
        <f>IF(ISBLANK(A12)," ",VLOOKUP(A12,'Product Database'!A:B,2,FALSE))</f>
        <v xml:space="preserve"> </v>
      </c>
      <c r="C12" s="24" t="str">
        <f>IF(ISBLANK(A12),"",SUMIF(Input!A:A,A12,Input!B:B))</f>
        <v/>
      </c>
      <c r="D12" s="25"/>
      <c r="E12" s="22" t="str">
        <f t="shared" si="0"/>
        <v xml:space="preserve"> </v>
      </c>
    </row>
    <row r="13" spans="1:5" ht="12.3">
      <c r="A13" s="23"/>
      <c r="B13" s="23" t="str">
        <f>IF(ISBLANK(A13)," ",VLOOKUP(A13,'Product Database'!A:B,2,FALSE))</f>
        <v xml:space="preserve"> </v>
      </c>
      <c r="C13" s="24" t="str">
        <f>IF(ISBLANK(A13),"",SUMIF(Input!A:A,A13,Input!B:B))</f>
        <v/>
      </c>
      <c r="D13" s="25"/>
      <c r="E13" s="22" t="str">
        <f t="shared" si="0"/>
        <v xml:space="preserve"> </v>
      </c>
    </row>
    <row r="14" spans="1:5" ht="12.3">
      <c r="A14" s="23"/>
      <c r="B14" s="23" t="str">
        <f>IF(ISBLANK(A14)," ",VLOOKUP(A14,'Product Database'!A:B,2,FALSE))</f>
        <v xml:space="preserve"> </v>
      </c>
      <c r="C14" s="24" t="str">
        <f>IF(ISBLANK(A14),"",SUMIF(Input!A:A,A14,Input!B:B))</f>
        <v/>
      </c>
      <c r="D14" s="25"/>
      <c r="E14" s="22" t="str">
        <f t="shared" si="0"/>
        <v xml:space="preserve"> </v>
      </c>
    </row>
    <row r="15" spans="1:5" ht="12.3">
      <c r="A15" s="23"/>
      <c r="B15" s="23" t="str">
        <f>IF(ISBLANK(A15)," ",VLOOKUP(A15,'Product Database'!A:B,2,FALSE))</f>
        <v xml:space="preserve"> </v>
      </c>
      <c r="C15" s="24" t="str">
        <f>IF(ISBLANK(A15),"",SUMIF(Input!A:A,A15,Input!B:B))</f>
        <v/>
      </c>
      <c r="D15" s="25"/>
      <c r="E15" s="22" t="str">
        <f t="shared" si="0"/>
        <v xml:space="preserve"> </v>
      </c>
    </row>
    <row r="16" spans="1:5" ht="12.3">
      <c r="A16" s="23"/>
      <c r="B16" s="23" t="str">
        <f>IF(ISBLANK(A16)," ",VLOOKUP(A16,'Product Database'!A:B,2,FALSE))</f>
        <v xml:space="preserve"> </v>
      </c>
      <c r="C16" s="24" t="str">
        <f>IF(ISBLANK(A16),"",SUMIF(Input!A:A,A16,Input!B:B))</f>
        <v/>
      </c>
      <c r="D16" s="25"/>
      <c r="E16" s="22" t="str">
        <f t="shared" si="0"/>
        <v xml:space="preserve"> </v>
      </c>
    </row>
    <row r="17" spans="1:5" ht="12.3">
      <c r="A17" s="23"/>
      <c r="B17" s="23" t="str">
        <f>IF(ISBLANK(A17)," ",VLOOKUP(A17,'Product Database'!A:B,2,FALSE))</f>
        <v xml:space="preserve"> </v>
      </c>
      <c r="C17" s="24" t="str">
        <f>IF(ISBLANK(A17),"",SUMIF(Input!A:A,A17,Input!B:B))</f>
        <v/>
      </c>
      <c r="D17" s="25"/>
      <c r="E17" s="22" t="str">
        <f t="shared" si="0"/>
        <v xml:space="preserve"> </v>
      </c>
    </row>
    <row r="18" spans="1:5" ht="12.3">
      <c r="A18" s="23"/>
      <c r="B18" s="23" t="str">
        <f>IF(ISBLANK(A18)," ",VLOOKUP(A18,'Product Database'!A:B,2,FALSE))</f>
        <v xml:space="preserve"> </v>
      </c>
      <c r="C18" s="24" t="str">
        <f>IF(ISBLANK(A18),"",SUMIF(Input!A:A,A18,Input!B:B))</f>
        <v/>
      </c>
      <c r="D18" s="25"/>
      <c r="E18" s="22" t="str">
        <f t="shared" si="0"/>
        <v xml:space="preserve"> </v>
      </c>
    </row>
    <row r="19" spans="1:5" ht="12.3">
      <c r="A19" s="23"/>
      <c r="B19" s="23" t="str">
        <f>IF(ISBLANK(A19)," ",VLOOKUP(A19,'Product Database'!A:B,2,FALSE))</f>
        <v xml:space="preserve"> </v>
      </c>
      <c r="C19" s="24" t="str">
        <f>IF(ISBLANK(A19),"",SUMIF(Input!A:A,A19,Input!B:B))</f>
        <v/>
      </c>
      <c r="D19" s="25"/>
      <c r="E19" s="22" t="str">
        <f t="shared" si="0"/>
        <v xml:space="preserve"> </v>
      </c>
    </row>
    <row r="20" spans="1:5" ht="12.3">
      <c r="A20" s="23"/>
      <c r="B20" s="23" t="str">
        <f>IF(ISBLANK(A20)," ",VLOOKUP(A20,'Product Database'!A:B,2,FALSE))</f>
        <v xml:space="preserve"> </v>
      </c>
      <c r="C20" s="24" t="str">
        <f>IF(ISBLANK(A20),"",SUMIF(Input!A:A,A20,Input!B:B))</f>
        <v/>
      </c>
      <c r="D20" s="25"/>
      <c r="E20" s="22" t="str">
        <f t="shared" si="0"/>
        <v xml:space="preserve"> </v>
      </c>
    </row>
    <row r="21" spans="1:5" ht="12.3">
      <c r="A21" s="23"/>
      <c r="B21" s="23" t="str">
        <f>IF(ISBLANK(A21)," ",VLOOKUP(A21,'Product Database'!A:B,2,FALSE))</f>
        <v xml:space="preserve"> </v>
      </c>
      <c r="C21" s="24" t="str">
        <f>IF(ISBLANK(A21),"",SUMIF(Input!A:A,A21,Input!B:B))</f>
        <v/>
      </c>
      <c r="D21" s="25"/>
      <c r="E21" s="22" t="str">
        <f t="shared" si="0"/>
        <v xml:space="preserve"> </v>
      </c>
    </row>
    <row r="22" spans="1:5" ht="12.3">
      <c r="A22" s="23"/>
      <c r="B22" s="23" t="str">
        <f>IF(ISBLANK(A22)," ",VLOOKUP(A22,'Product Database'!A:B,2,FALSE))</f>
        <v xml:space="preserve"> </v>
      </c>
      <c r="C22" s="24" t="str">
        <f>IF(ISBLANK(A22),"",SUMIF(Input!A:A,A22,Input!B:B))</f>
        <v/>
      </c>
      <c r="D22" s="25"/>
      <c r="E22" s="22" t="str">
        <f t="shared" si="0"/>
        <v xml:space="preserve"> </v>
      </c>
    </row>
    <row r="23" spans="1:5" ht="12.3">
      <c r="A23" s="23"/>
      <c r="B23" s="23" t="str">
        <f>IF(ISBLANK(A23)," ",VLOOKUP(A23,'Product Database'!A:B,2,FALSE))</f>
        <v xml:space="preserve"> </v>
      </c>
      <c r="C23" s="24" t="str">
        <f>IF(ISBLANK(A23),"",SUMIF(Input!A:A,A23,Input!B:B))</f>
        <v/>
      </c>
      <c r="D23" s="25"/>
      <c r="E23" s="22" t="str">
        <f t="shared" si="0"/>
        <v xml:space="preserve"> </v>
      </c>
    </row>
    <row r="24" spans="1:5" ht="12.3">
      <c r="A24" s="23"/>
      <c r="B24" s="23" t="str">
        <f>IF(ISBLANK(A24)," ",VLOOKUP(A24,'Product Database'!A:B,2,FALSE))</f>
        <v xml:space="preserve"> </v>
      </c>
      <c r="C24" s="24" t="str">
        <f>IF(ISBLANK(A24),"",SUMIF(Input!A:A,A24,Input!B:B))</f>
        <v/>
      </c>
      <c r="D24" s="25"/>
      <c r="E24" s="22" t="str">
        <f t="shared" si="0"/>
        <v xml:space="preserve"> </v>
      </c>
    </row>
    <row r="25" spans="1:5" ht="12.3">
      <c r="A25" s="23"/>
      <c r="B25" s="23" t="str">
        <f>IF(ISBLANK(A25)," ",VLOOKUP(A25,'Product Database'!A:B,2,FALSE))</f>
        <v xml:space="preserve"> </v>
      </c>
      <c r="C25" s="24" t="str">
        <f>IF(ISBLANK(A25),"",SUMIF(Input!A:A,A25,Input!B:B))</f>
        <v/>
      </c>
      <c r="D25" s="25"/>
      <c r="E25" s="22" t="str">
        <f t="shared" si="0"/>
        <v xml:space="preserve"> </v>
      </c>
    </row>
    <row r="26" spans="1:5" ht="12.3">
      <c r="A26" s="23"/>
      <c r="B26" s="23" t="str">
        <f>IF(ISBLANK(A26)," ",VLOOKUP(A26,'Product Database'!A:B,2,FALSE))</f>
        <v xml:space="preserve"> </v>
      </c>
      <c r="C26" s="24" t="str">
        <f>IF(ISBLANK(A26),"",SUMIF(Input!A:A,A26,Input!B:B))</f>
        <v/>
      </c>
      <c r="D26" s="25"/>
      <c r="E26" s="22" t="str">
        <f t="shared" si="0"/>
        <v xml:space="preserve"> </v>
      </c>
    </row>
    <row r="27" spans="1:5" ht="12.3">
      <c r="A27" s="23"/>
      <c r="B27" s="23" t="str">
        <f>IF(ISBLANK(A27)," ",VLOOKUP(A27,'Product Database'!A:B,2,FALSE))</f>
        <v xml:space="preserve"> </v>
      </c>
      <c r="C27" s="24" t="str">
        <f>IF(ISBLANK(A27),"",SUMIF(Input!A:A,A27,Input!B:B))</f>
        <v/>
      </c>
      <c r="D27" s="25"/>
      <c r="E27" s="22" t="str">
        <f t="shared" si="0"/>
        <v xml:space="preserve"> </v>
      </c>
    </row>
    <row r="28" spans="1:5" ht="12.3">
      <c r="A28" s="23"/>
      <c r="B28" s="23" t="str">
        <f>IF(ISBLANK(A28)," ",VLOOKUP(A28,'Product Database'!A:B,2,FALSE))</f>
        <v xml:space="preserve"> </v>
      </c>
      <c r="C28" s="24" t="str">
        <f>IF(ISBLANK(A28),"",SUMIF(Input!A:A,A28,Input!B:B))</f>
        <v/>
      </c>
      <c r="D28" s="25"/>
      <c r="E28" s="22" t="str">
        <f t="shared" si="0"/>
        <v xml:space="preserve"> </v>
      </c>
    </row>
    <row r="29" spans="1:5" ht="12.3">
      <c r="A29" s="23"/>
      <c r="B29" s="23" t="str">
        <f>IF(ISBLANK(A29)," ",VLOOKUP(A29,'Product Database'!A:B,2,FALSE))</f>
        <v xml:space="preserve"> </v>
      </c>
      <c r="C29" s="24" t="str">
        <f>IF(ISBLANK(A29),"",SUMIF(Input!A:A,A29,Input!B:B))</f>
        <v/>
      </c>
      <c r="D29" s="25"/>
      <c r="E29" s="22" t="str">
        <f t="shared" si="0"/>
        <v xml:space="preserve"> </v>
      </c>
    </row>
    <row r="30" spans="1:5" ht="12.3">
      <c r="A30" s="23"/>
      <c r="B30" s="23" t="str">
        <f>IF(ISBLANK(A30)," ",VLOOKUP(A30,'Product Database'!A:B,2,FALSE))</f>
        <v xml:space="preserve"> </v>
      </c>
      <c r="C30" s="24" t="str">
        <f>IF(ISBLANK(A30),"",SUMIF(Input!A:A,A30,Input!B:B))</f>
        <v/>
      </c>
      <c r="D30" s="25"/>
      <c r="E30" s="22" t="str">
        <f t="shared" si="0"/>
        <v xml:space="preserve"> </v>
      </c>
    </row>
    <row r="31" spans="1:5" ht="12.3">
      <c r="A31" s="23"/>
      <c r="B31" s="23" t="str">
        <f>IF(ISBLANK(A31)," ",VLOOKUP(A31,'Product Database'!A:B,2,FALSE))</f>
        <v xml:space="preserve"> </v>
      </c>
      <c r="C31" s="24" t="str">
        <f>IF(ISBLANK(A31),"",SUMIF(Input!A:A,A31,Input!B:B))</f>
        <v/>
      </c>
      <c r="D31" s="25"/>
      <c r="E31" s="22" t="str">
        <f t="shared" si="0"/>
        <v xml:space="preserve"> </v>
      </c>
    </row>
    <row r="32" spans="1:5" ht="12.3">
      <c r="A32" s="23"/>
      <c r="B32" s="23" t="str">
        <f>IF(ISBLANK(A32)," ",VLOOKUP(A32,'Product Database'!A:B,2,FALSE))</f>
        <v xml:space="preserve"> </v>
      </c>
      <c r="C32" s="24" t="str">
        <f>IF(ISBLANK(A32),"",SUMIF(Input!A:A,A32,Input!B:B))</f>
        <v/>
      </c>
      <c r="D32" s="25"/>
      <c r="E32" s="22" t="str">
        <f t="shared" si="0"/>
        <v xml:space="preserve"> </v>
      </c>
    </row>
    <row r="33" spans="1:5" ht="12.3">
      <c r="A33" s="23"/>
      <c r="B33" s="23" t="str">
        <f>IF(ISBLANK(A33)," ",VLOOKUP(A33,'Product Database'!A:B,2,FALSE))</f>
        <v xml:space="preserve"> </v>
      </c>
      <c r="C33" s="24" t="str">
        <f>IF(ISBLANK(A33),"",SUMIF(Input!A:A,A33,Input!B:B))</f>
        <v/>
      </c>
      <c r="D33" s="25"/>
      <c r="E33" s="22" t="str">
        <f t="shared" si="0"/>
        <v xml:space="preserve"> </v>
      </c>
    </row>
    <row r="34" spans="1:5" ht="12.3">
      <c r="A34" s="40"/>
      <c r="B34" s="23" t="str">
        <f>IF(ISBLANK(A34)," ",VLOOKUP(A34,'Product Database'!A:B,2,FALSE))</f>
        <v xml:space="preserve"> </v>
      </c>
      <c r="C34" s="24" t="str">
        <f>IF(ISBLANK(A34),"",SUMIF(Input!A:A,A34,Input!B:B))</f>
        <v/>
      </c>
      <c r="D34" s="25"/>
      <c r="E34" s="22" t="str">
        <f t="shared" si="0"/>
        <v xml:space="preserve"> </v>
      </c>
    </row>
    <row r="35" spans="1:5" ht="12.3">
      <c r="A35" s="23"/>
      <c r="B35" s="23" t="str">
        <f>IF(ISBLANK(A35)," ",VLOOKUP(A35,'Product Database'!A:B,2,FALSE))</f>
        <v xml:space="preserve"> </v>
      </c>
      <c r="C35" s="24" t="str">
        <f>IF(ISBLANK(A35),"",SUMIF(Input!A:A,A35,Input!B:B))</f>
        <v/>
      </c>
      <c r="D35" s="25"/>
      <c r="E35" s="22" t="str">
        <f t="shared" si="0"/>
        <v xml:space="preserve"> </v>
      </c>
    </row>
    <row r="36" spans="1:5" ht="12.3">
      <c r="A36" s="23"/>
      <c r="B36" s="23" t="str">
        <f>IF(ISBLANK(A36)," ",VLOOKUP(A36,'Product Database'!A:B,2,FALSE))</f>
        <v xml:space="preserve"> </v>
      </c>
      <c r="C36" s="24" t="str">
        <f>IF(ISBLANK(A36),"",SUMIF(Input!A:A,A36,Input!B:B))</f>
        <v/>
      </c>
      <c r="D36" s="25"/>
      <c r="E36" s="22" t="str">
        <f t="shared" si="0"/>
        <v xml:space="preserve"> </v>
      </c>
    </row>
    <row r="37" spans="1:5" ht="12.3">
      <c r="A37" s="23"/>
      <c r="B37" s="23" t="str">
        <f>IF(ISBLANK(A37)," ",VLOOKUP(A37,'Product Database'!A:B,2,FALSE))</f>
        <v xml:space="preserve"> </v>
      </c>
      <c r="C37" s="24" t="str">
        <f>IF(ISBLANK(A37),"",SUMIF(Input!A:A,A37,Input!B:B))</f>
        <v/>
      </c>
      <c r="D37" s="25"/>
      <c r="E37" s="22" t="str">
        <f t="shared" si="0"/>
        <v xml:space="preserve"> </v>
      </c>
    </row>
    <row r="38" spans="1:5" ht="12.3">
      <c r="A38" s="23"/>
      <c r="B38" s="23" t="str">
        <f>IF(ISBLANK(A38)," ",VLOOKUP(A38,'Product Database'!A:B,2,FALSE))</f>
        <v xml:space="preserve"> </v>
      </c>
      <c r="C38" s="24" t="str">
        <f>IF(ISBLANK(A38),"",SUMIF(Input!A:A,A38,Input!B:B))</f>
        <v/>
      </c>
      <c r="D38" s="25"/>
      <c r="E38" s="22" t="str">
        <f t="shared" si="0"/>
        <v xml:space="preserve"> </v>
      </c>
    </row>
    <row r="39" spans="1:5" ht="12.3">
      <c r="A39" s="23"/>
      <c r="B39" s="23" t="str">
        <f>IF(ISBLANK(A39)," ",VLOOKUP(A39,'Product Database'!A:B,2,FALSE))</f>
        <v xml:space="preserve"> </v>
      </c>
      <c r="C39" s="24" t="str">
        <f>IF(ISBLANK(A39),"",SUMIF(Input!A:A,A39,Input!B:B))</f>
        <v/>
      </c>
      <c r="D39" s="25"/>
      <c r="E39" s="22" t="str">
        <f t="shared" si="0"/>
        <v xml:space="preserve"> </v>
      </c>
    </row>
    <row r="40" spans="1:5" ht="12.3">
      <c r="A40" s="23"/>
      <c r="B40" s="23" t="str">
        <f>IF(ISBLANK(A40)," ",VLOOKUP(A40,'Product Database'!A:B,2,FALSE))</f>
        <v xml:space="preserve"> </v>
      </c>
      <c r="C40" s="24" t="str">
        <f>IF(ISBLANK(A40),"",SUMIF(Input!A:A,A40,Input!B:B))</f>
        <v/>
      </c>
      <c r="D40" s="25"/>
      <c r="E40" s="22" t="str">
        <f t="shared" si="0"/>
        <v xml:space="preserve"> </v>
      </c>
    </row>
    <row r="41" spans="1:5" ht="12.3">
      <c r="A41" s="23"/>
      <c r="B41" s="23" t="str">
        <f>IF(ISBLANK(A41)," ",VLOOKUP(A41,'Product Database'!A:B,2,FALSE))</f>
        <v xml:space="preserve"> </v>
      </c>
      <c r="C41" s="24" t="str">
        <f>IF(ISBLANK(A41),"",SUMIF(Input!A:A,A41,Input!B:B))</f>
        <v/>
      </c>
      <c r="D41" s="25"/>
      <c r="E41" s="22" t="str">
        <f t="shared" si="0"/>
        <v xml:space="preserve"> </v>
      </c>
    </row>
    <row r="42" spans="1:5" ht="12.3">
      <c r="A42" s="42"/>
      <c r="B42" s="23" t="str">
        <f>IF(ISBLANK(A42)," ",VLOOKUP(A42,'Product Database'!A:B,2,FALSE))</f>
        <v xml:space="preserve"> </v>
      </c>
      <c r="C42" s="24" t="str">
        <f>IF(ISBLANK(A42),"",SUMIF(Input!A:A,A42,Input!B:B))</f>
        <v/>
      </c>
      <c r="D42" s="25"/>
      <c r="E42" s="22" t="str">
        <f t="shared" si="0"/>
        <v xml:space="preserve"> </v>
      </c>
    </row>
    <row r="43" spans="1:5" ht="12.3">
      <c r="A43" s="23"/>
      <c r="B43" s="23" t="str">
        <f>IF(ISBLANK(A43)," ",VLOOKUP(A43,'Product Database'!A:B,2,FALSE))</f>
        <v xml:space="preserve"> </v>
      </c>
      <c r="C43" s="24" t="str">
        <f>IF(ISBLANK(A43),"",SUMIF(Input!A:A,A43,Input!B:B))</f>
        <v/>
      </c>
      <c r="D43" s="25"/>
      <c r="E43" s="22" t="str">
        <f t="shared" si="0"/>
        <v xml:space="preserve"> </v>
      </c>
    </row>
    <row r="44" spans="1:5" ht="12.3">
      <c r="A44" s="42"/>
      <c r="B44" s="23" t="str">
        <f>IF(ISBLANK(A44)," ",VLOOKUP(A44,'Product Database'!A:B,2,FALSE))</f>
        <v xml:space="preserve"> </v>
      </c>
      <c r="C44" s="24" t="str">
        <f>IF(ISBLANK(A44),"",SUMIF(Input!A:A,A44,Input!B:B))</f>
        <v/>
      </c>
      <c r="D44" s="25"/>
      <c r="E44" s="22" t="str">
        <f t="shared" si="0"/>
        <v xml:space="preserve"> </v>
      </c>
    </row>
    <row r="45" spans="1:5" ht="12.3">
      <c r="A45" s="23"/>
      <c r="B45" s="23" t="str">
        <f>IF(ISBLANK(A45)," ",VLOOKUP(A45,'Product Database'!A:B,2,FALSE))</f>
        <v xml:space="preserve"> </v>
      </c>
      <c r="C45" s="24" t="str">
        <f>IF(ISBLANK(A45),"",SUMIF(Input!A:A,A45,Input!B:B))</f>
        <v/>
      </c>
      <c r="D45" s="25"/>
      <c r="E45" s="22" t="str">
        <f t="shared" si="0"/>
        <v xml:space="preserve"> </v>
      </c>
    </row>
    <row r="46" spans="1:5" ht="12.3">
      <c r="A46" s="23"/>
      <c r="B46" s="23" t="str">
        <f>IF(ISBLANK(A46)," ",VLOOKUP(A46,'Product Database'!A:B,2,FALSE))</f>
        <v xml:space="preserve"> </v>
      </c>
      <c r="C46" s="24" t="str">
        <f>IF(ISBLANK(A46),"",SUMIF(Input!A:A,A46,Input!B:B))</f>
        <v/>
      </c>
      <c r="D46" s="25"/>
      <c r="E46" s="22" t="str">
        <f t="shared" si="0"/>
        <v xml:space="preserve"> </v>
      </c>
    </row>
    <row r="47" spans="1:5" ht="12.3">
      <c r="A47" s="23"/>
      <c r="B47" s="23" t="str">
        <f>IF(ISBLANK(A47)," ",VLOOKUP(A47,'Product Database'!A:B,2,FALSE))</f>
        <v xml:space="preserve"> </v>
      </c>
      <c r="C47" s="24" t="str">
        <f>IF(ISBLANK(A47),"",SUMIF(Input!A:A,A47,Input!B:B))</f>
        <v/>
      </c>
      <c r="D47" s="25"/>
      <c r="E47" s="22" t="str">
        <f t="shared" si="0"/>
        <v xml:space="preserve"> </v>
      </c>
    </row>
    <row r="48" spans="1:5" ht="12.3">
      <c r="A48" s="23"/>
      <c r="B48" s="23" t="str">
        <f>IF(ISBLANK(A48)," ",VLOOKUP(A48,'Product Database'!A:B,2,FALSE))</f>
        <v xml:space="preserve"> </v>
      </c>
      <c r="C48" s="24" t="str">
        <f>IF(ISBLANK(A48),"",SUMIF(Input!A:A,A48,Input!B:B))</f>
        <v/>
      </c>
      <c r="D48" s="25"/>
      <c r="E48" s="22" t="str">
        <f t="shared" si="0"/>
        <v xml:space="preserve"> </v>
      </c>
    </row>
    <row r="49" spans="1:7" ht="12.3">
      <c r="A49" s="23"/>
      <c r="B49" s="23" t="str">
        <f>IF(ISBLANK(A49)," ",VLOOKUP(A49,'Product Database'!A:B,2,FALSE))</f>
        <v xml:space="preserve"> </v>
      </c>
      <c r="C49" s="24" t="str">
        <f>IF(ISBLANK(A49),"",SUMIF(Input!A:A,A49,Input!B:B))</f>
        <v/>
      </c>
      <c r="D49" s="25"/>
      <c r="E49" s="22" t="str">
        <f t="shared" si="0"/>
        <v xml:space="preserve"> </v>
      </c>
    </row>
    <row r="50" spans="1:7" ht="12.3">
      <c r="A50" s="23"/>
      <c r="B50" s="23" t="str">
        <f>IF(ISBLANK(A50)," ",VLOOKUP(A50,'Product Database'!A:B,2,FALSE))</f>
        <v xml:space="preserve"> </v>
      </c>
      <c r="C50" s="24" t="str">
        <f>IF(ISBLANK(A50),"",SUMIF(Input!A:A,A50,Input!B:B))</f>
        <v/>
      </c>
      <c r="D50" s="25"/>
      <c r="E50" s="22" t="str">
        <f t="shared" si="0"/>
        <v xml:space="preserve"> </v>
      </c>
    </row>
    <row r="51" spans="1:7" ht="12.3">
      <c r="A51" s="23"/>
      <c r="B51" s="23" t="str">
        <f>IF(ISBLANK(A51)," ",VLOOKUP(A51,'Product Database'!A:B,2,FALSE))</f>
        <v xml:space="preserve"> </v>
      </c>
      <c r="C51" s="24" t="str">
        <f>IF(ISBLANK(A51),"",SUMIF(Input!A:A,A51,Input!B:B))</f>
        <v/>
      </c>
      <c r="D51" s="25"/>
      <c r="E51" s="22" t="str">
        <f t="shared" si="0"/>
        <v xml:space="preserve"> </v>
      </c>
    </row>
    <row r="52" spans="1:7" ht="12.3">
      <c r="A52" s="23"/>
      <c r="B52" s="23" t="str">
        <f>IF(ISBLANK(A52)," ",VLOOKUP(A52,'Product Database'!A:B,2,FALSE))</f>
        <v xml:space="preserve"> </v>
      </c>
      <c r="C52" s="24" t="str">
        <f>IF(ISBLANK(A52),"",SUMIF(Input!A:A,A52,Input!B:B))</f>
        <v/>
      </c>
      <c r="D52" s="25"/>
      <c r="E52" s="22" t="str">
        <f t="shared" si="0"/>
        <v xml:space="preserve"> </v>
      </c>
    </row>
    <row r="53" spans="1:7" ht="12.3">
      <c r="A53" s="23"/>
      <c r="B53" s="23" t="str">
        <f>IF(ISBLANK(A53)," ",VLOOKUP(A53,'Product Database'!A:B,2,FALSE))</f>
        <v xml:space="preserve"> </v>
      </c>
      <c r="C53" s="24" t="str">
        <f>IF(ISBLANK(A53),"",SUMIF(Input!A:A,A53,Input!B:B))</f>
        <v/>
      </c>
      <c r="D53" s="25"/>
      <c r="E53" s="22" t="str">
        <f t="shared" si="0"/>
        <v xml:space="preserve"> </v>
      </c>
    </row>
    <row r="54" spans="1:7" ht="12.3">
      <c r="A54" s="23"/>
      <c r="B54" s="23" t="str">
        <f>IF(ISBLANK(A54)," ",VLOOKUP(A54,'Product Database'!A:B,2,FALSE))</f>
        <v xml:space="preserve"> </v>
      </c>
      <c r="C54" s="24" t="str">
        <f>IF(ISBLANK(A54),"",SUMIF(Input!A:A,A54,Input!B:B))</f>
        <v/>
      </c>
      <c r="D54" s="25"/>
      <c r="E54" s="22" t="str">
        <f t="shared" si="0"/>
        <v xml:space="preserve"> </v>
      </c>
    </row>
    <row r="55" spans="1:7" ht="12.3">
      <c r="A55" s="23"/>
      <c r="B55" s="23" t="str">
        <f>IF(ISBLANK(A55)," ",VLOOKUP(A55,'Product Database'!A:B,2,FALSE))</f>
        <v xml:space="preserve"> </v>
      </c>
      <c r="C55" s="24" t="str">
        <f>IF(ISBLANK(A55),"",SUMIF(Input!A:A,A55,Input!B:B))</f>
        <v/>
      </c>
      <c r="D55" s="25"/>
      <c r="E55" s="22" t="str">
        <f t="shared" si="0"/>
        <v xml:space="preserve"> </v>
      </c>
    </row>
    <row r="56" spans="1:7" ht="12.3">
      <c r="A56" s="23"/>
      <c r="B56" s="23" t="str">
        <f>IF(ISBLANK(A56)," ",VLOOKUP(A56,'Product Database'!A:B,2,FALSE))</f>
        <v xml:space="preserve"> </v>
      </c>
      <c r="C56" s="24" t="str">
        <f>IF(ISBLANK(A56),"",SUMIF(Input!A:A,A56,Input!B:B))</f>
        <v/>
      </c>
      <c r="D56" s="25"/>
      <c r="E56" s="22" t="str">
        <f t="shared" si="0"/>
        <v xml:space="preserve"> </v>
      </c>
    </row>
    <row r="57" spans="1:7" ht="12.3">
      <c r="A57" s="23"/>
      <c r="B57" s="23" t="str">
        <f>IF(ISBLANK(A57)," ",VLOOKUP(A57,'Product Database'!A:B,2,FALSE))</f>
        <v xml:space="preserve"> </v>
      </c>
      <c r="C57" s="24" t="str">
        <f>IF(ISBLANK(A57),"",SUMIF(Input!A:A,A57,Input!B:B))</f>
        <v/>
      </c>
      <c r="D57" s="25"/>
      <c r="E57" s="22" t="str">
        <f t="shared" si="0"/>
        <v xml:space="preserve"> </v>
      </c>
    </row>
    <row r="58" spans="1:7" ht="12.3">
      <c r="A58" s="23"/>
      <c r="B58" s="23" t="str">
        <f>IF(ISBLANK(A58)," ",VLOOKUP(A58,'Product Database'!A:B,2,FALSE))</f>
        <v xml:space="preserve"> </v>
      </c>
      <c r="C58" s="24" t="str">
        <f>IF(ISBLANK(A58),"",SUMIF(Input!A:A,A58,Input!B:B))</f>
        <v/>
      </c>
      <c r="D58" s="25"/>
      <c r="E58" s="22" t="str">
        <f t="shared" si="0"/>
        <v xml:space="preserve"> </v>
      </c>
    </row>
    <row r="59" spans="1:7" ht="12.3">
      <c r="A59" s="23"/>
      <c r="B59" s="23" t="str">
        <f>IF(ISBLANK(A59)," ",VLOOKUP(A59,'Product Database'!A:B,2,FALSE))</f>
        <v xml:space="preserve"> </v>
      </c>
      <c r="C59" s="24" t="str">
        <f>IF(ISBLANK(A59),"",SUMIF(Input!A:A,A59,Input!B:B))</f>
        <v/>
      </c>
      <c r="D59" s="25"/>
      <c r="E59" s="22" t="str">
        <f t="shared" si="0"/>
        <v xml:space="preserve"> </v>
      </c>
      <c r="G59" s="41"/>
    </row>
    <row r="60" spans="1:7" ht="12.3">
      <c r="A60" s="42"/>
      <c r="B60" s="23" t="str">
        <f>IF(ISBLANK(A60)," ",VLOOKUP(A60,'Product Database'!A:B,2,FALSE))</f>
        <v xml:space="preserve"> </v>
      </c>
      <c r="C60" s="24" t="str">
        <f>IF(ISBLANK(A60),"",SUMIF(Input!A:A,A60,Input!B:B))</f>
        <v/>
      </c>
      <c r="D60" s="25"/>
      <c r="E60" s="22" t="str">
        <f t="shared" si="0"/>
        <v xml:space="preserve"> </v>
      </c>
    </row>
    <row r="61" spans="1:7" ht="12.3">
      <c r="A61" s="23"/>
      <c r="B61" s="23" t="str">
        <f>IF(ISBLANK(A61)," ",VLOOKUP(A61,'Product Database'!A:B,2,FALSE))</f>
        <v xml:space="preserve"> </v>
      </c>
      <c r="C61" s="24" t="str">
        <f>IF(ISBLANK(A61),"",SUMIF(Input!A:A,A61,Input!B:B))</f>
        <v/>
      </c>
      <c r="D61" s="25"/>
      <c r="E61" s="22" t="str">
        <f t="shared" si="0"/>
        <v xml:space="preserve"> </v>
      </c>
    </row>
    <row r="62" spans="1:7" ht="12.3">
      <c r="A62" s="23"/>
      <c r="B62" s="23" t="str">
        <f>IF(ISBLANK(A62)," ",VLOOKUP(A62,'Product Database'!A:B,2,FALSE))</f>
        <v xml:space="preserve"> </v>
      </c>
      <c r="C62" s="24" t="str">
        <f>IF(ISBLANK(A62),"",SUMIF(Input!A:A,A62,Input!B:B))</f>
        <v/>
      </c>
      <c r="D62" s="25"/>
      <c r="E62" s="22" t="str">
        <f t="shared" si="0"/>
        <v xml:space="preserve"> </v>
      </c>
    </row>
    <row r="63" spans="1:7" ht="12.3">
      <c r="A63" s="23"/>
      <c r="B63" s="23" t="str">
        <f>IF(ISBLANK(A63)," ",VLOOKUP(A63,'Product Database'!A:B,2,FALSE))</f>
        <v xml:space="preserve"> </v>
      </c>
      <c r="C63" s="24" t="str">
        <f>IF(ISBLANK(A63),"",SUMIF(Input!A:A,A63,Input!B:B))</f>
        <v/>
      </c>
      <c r="D63" s="25"/>
      <c r="E63" s="22" t="str">
        <f t="shared" si="0"/>
        <v xml:space="preserve"> </v>
      </c>
    </row>
    <row r="64" spans="1:7" ht="12.3">
      <c r="A64" s="23"/>
      <c r="B64" s="23" t="str">
        <f>IF(ISBLANK(A64)," ",VLOOKUP(A64,'Product Database'!A:B,2,FALSE))</f>
        <v xml:space="preserve"> </v>
      </c>
      <c r="C64" s="24" t="str">
        <f>IF(ISBLANK(A64),"",SUMIF(Input!A:A,A64,Input!B:B))</f>
        <v/>
      </c>
      <c r="D64" s="25"/>
      <c r="E64" s="22" t="str">
        <f t="shared" si="0"/>
        <v xml:space="preserve"> </v>
      </c>
    </row>
    <row r="65" spans="1:5" ht="12.3">
      <c r="A65" s="23"/>
      <c r="B65" s="23" t="str">
        <f>IF(ISBLANK(A65)," ",VLOOKUP(A65,'Product Database'!A:B,2,FALSE))</f>
        <v xml:space="preserve"> </v>
      </c>
      <c r="C65" s="24" t="str">
        <f>IF(ISBLANK(A65),"",SUMIF(Input!A:A,A65,Input!B:B))</f>
        <v/>
      </c>
      <c r="D65" s="25"/>
      <c r="E65" s="22" t="str">
        <f t="shared" si="0"/>
        <v xml:space="preserve"> </v>
      </c>
    </row>
    <row r="66" spans="1:5" ht="12.3">
      <c r="A66" s="23"/>
      <c r="B66" s="23" t="str">
        <f>IF(ISBLANK(A66)," ",VLOOKUP(A66,'Product Database'!A:B,2,FALSE))</f>
        <v xml:space="preserve"> </v>
      </c>
      <c r="C66" s="24" t="str">
        <f>IF(ISBLANK(A66),"",SUMIF(Input!A:A,A66,Input!B:B))</f>
        <v/>
      </c>
      <c r="D66" s="25"/>
      <c r="E66" s="22" t="str">
        <f t="shared" si="0"/>
        <v xml:space="preserve"> </v>
      </c>
    </row>
    <row r="67" spans="1:5" ht="12.3">
      <c r="A67" s="23"/>
      <c r="B67" s="23" t="str">
        <f>IF(ISBLANK(A67)," ",VLOOKUP(A67,'Product Database'!A:B,2,FALSE))</f>
        <v xml:space="preserve"> </v>
      </c>
      <c r="C67" s="24" t="str">
        <f>IF(ISBLANK(A67),"",SUMIF(Input!A:A,A67,Input!B:B))</f>
        <v/>
      </c>
      <c r="D67" s="25"/>
      <c r="E67" s="22" t="str">
        <f t="shared" si="0"/>
        <v xml:space="preserve"> </v>
      </c>
    </row>
    <row r="68" spans="1:5" ht="12.3">
      <c r="A68" s="23"/>
      <c r="B68" s="23" t="str">
        <f>IF(ISBLANK(A68)," ",VLOOKUP(A68,'Product Database'!A:B,2,FALSE))</f>
        <v xml:space="preserve"> </v>
      </c>
      <c r="C68" s="24" t="str">
        <f>IF(ISBLANK(A68),"",SUMIF(Input!A:A,A68,Input!B:B))</f>
        <v/>
      </c>
      <c r="D68" s="25"/>
      <c r="E68" s="22" t="str">
        <f t="shared" si="0"/>
        <v xml:space="preserve"> </v>
      </c>
    </row>
    <row r="69" spans="1:5" ht="12.3">
      <c r="A69" s="23"/>
      <c r="B69" s="23" t="str">
        <f>IF(ISBLANK(A69)," ",VLOOKUP(A69,'Product Database'!A:B,2,FALSE))</f>
        <v xml:space="preserve"> </v>
      </c>
      <c r="C69" s="24" t="str">
        <f>IF(ISBLANK(A69),"",SUMIF(Input!A:A,A69,Input!B:B))</f>
        <v/>
      </c>
      <c r="D69" s="25"/>
      <c r="E69" s="22" t="str">
        <f t="shared" si="0"/>
        <v xml:space="preserve"> </v>
      </c>
    </row>
    <row r="70" spans="1:5" ht="12.3">
      <c r="A70" s="23"/>
      <c r="B70" s="23" t="str">
        <f>IF(ISBLANK(A70)," ",VLOOKUP(A70,'Product Database'!A:B,2,FALSE))</f>
        <v xml:space="preserve"> </v>
      </c>
      <c r="C70" s="24" t="str">
        <f>IF(ISBLANK(A70),"",SUMIF(Input!A:A,A70,Input!B:B))</f>
        <v/>
      </c>
      <c r="D70" s="25"/>
      <c r="E70" s="22" t="str">
        <f t="shared" si="0"/>
        <v xml:space="preserve"> </v>
      </c>
    </row>
    <row r="71" spans="1:5" ht="12.3">
      <c r="A71" s="23"/>
      <c r="B71" s="23" t="str">
        <f>IF(ISBLANK(A71)," ",VLOOKUP(A71,'Product Database'!A:B,2,FALSE))</f>
        <v xml:space="preserve"> </v>
      </c>
      <c r="C71" s="24" t="str">
        <f>IF(ISBLANK(A71),"",SUMIF(Input!A:A,A71,Input!B:B))</f>
        <v/>
      </c>
      <c r="D71" s="25"/>
      <c r="E71" s="22" t="str">
        <f t="shared" si="0"/>
        <v xml:space="preserve"> </v>
      </c>
    </row>
    <row r="72" spans="1:5" ht="12.3">
      <c r="A72" s="23"/>
      <c r="B72" s="23" t="str">
        <f>IF(ISBLANK(A72)," ",VLOOKUP(A72,'Product Database'!A:B,2,FALSE))</f>
        <v xml:space="preserve"> </v>
      </c>
      <c r="C72" s="24" t="str">
        <f>IF(ISBLANK(A72),"",SUMIF(Input!A:A,A72,Input!B:B))</f>
        <v/>
      </c>
      <c r="D72" s="25"/>
      <c r="E72" s="22" t="str">
        <f t="shared" si="0"/>
        <v xml:space="preserve"> </v>
      </c>
    </row>
    <row r="73" spans="1:5" ht="12.3">
      <c r="A73" s="23"/>
      <c r="B73" s="23" t="str">
        <f>IF(ISBLANK(A73)," ",VLOOKUP(A73,'Product Database'!A:B,2,FALSE))</f>
        <v xml:space="preserve"> </v>
      </c>
      <c r="C73" s="24" t="str">
        <f>IF(ISBLANK(A73),"",SUMIF(Input!A:A,A73,Input!B:B))</f>
        <v/>
      </c>
      <c r="D73" s="25"/>
      <c r="E73" s="22" t="str">
        <f t="shared" si="0"/>
        <v xml:space="preserve"> </v>
      </c>
    </row>
    <row r="74" spans="1:5" ht="12.3">
      <c r="A74" s="23"/>
      <c r="B74" s="23" t="str">
        <f>IF(ISBLANK(A74)," ",VLOOKUP(A74,'Product Database'!A:B,2,FALSE))</f>
        <v xml:space="preserve"> </v>
      </c>
      <c r="C74" s="24" t="str">
        <f>IF(ISBLANK(A74),"",SUMIF(Input!A:A,A74,Input!B:B))</f>
        <v/>
      </c>
      <c r="D74" s="25"/>
      <c r="E74" s="22" t="str">
        <f t="shared" si="0"/>
        <v xml:space="preserve"> </v>
      </c>
    </row>
    <row r="75" spans="1:5" ht="12.3">
      <c r="A75" s="23"/>
      <c r="B75" s="23" t="str">
        <f>IF(ISBLANK(A75)," ",VLOOKUP(A75,'Product Database'!A:B,2,FALSE))</f>
        <v xml:space="preserve"> </v>
      </c>
      <c r="C75" s="24" t="str">
        <f>IF(ISBLANK(A75),"",SUMIF(Input!A:A,A75,Input!B:B))</f>
        <v/>
      </c>
      <c r="D75" s="25"/>
      <c r="E75" s="22" t="str">
        <f t="shared" si="0"/>
        <v xml:space="preserve"> </v>
      </c>
    </row>
    <row r="76" spans="1:5" ht="12.3">
      <c r="A76" s="23"/>
      <c r="B76" s="23" t="str">
        <f>IF(ISBLANK(A76)," ",VLOOKUP(A76,'Product Database'!A:B,2,FALSE))</f>
        <v xml:space="preserve"> </v>
      </c>
      <c r="C76" s="24" t="str">
        <f>IF(ISBLANK(A76),"",SUMIF(Input!A:A,A76,Input!B:B))</f>
        <v/>
      </c>
      <c r="D76" s="25"/>
      <c r="E76" s="22" t="str">
        <f t="shared" si="0"/>
        <v xml:space="preserve"> </v>
      </c>
    </row>
    <row r="77" spans="1:5" ht="12.3">
      <c r="A77" s="23"/>
      <c r="B77" s="23" t="str">
        <f>IF(ISBLANK(A77)," ",VLOOKUP(A77,'Product Database'!A:B,2,FALSE))</f>
        <v xml:space="preserve"> </v>
      </c>
      <c r="C77" s="24" t="str">
        <f>IF(ISBLANK(A77),"",SUMIF(Input!A:A,A77,Input!B:B))</f>
        <v/>
      </c>
      <c r="D77" s="25"/>
      <c r="E77" s="22" t="str">
        <f t="shared" si="0"/>
        <v xml:space="preserve"> </v>
      </c>
    </row>
    <row r="78" spans="1:5" ht="12.3">
      <c r="A78" s="23"/>
      <c r="B78" s="23" t="str">
        <f>IF(ISBLANK(A78)," ",VLOOKUP(A78,'Product Database'!A:B,2,FALSE))</f>
        <v xml:space="preserve"> </v>
      </c>
      <c r="C78" s="24" t="str">
        <f>IF(ISBLANK(A78),"",SUMIF(Input!A:A,A78,Input!B:B))</f>
        <v/>
      </c>
      <c r="D78" s="25"/>
      <c r="E78" s="22" t="str">
        <f t="shared" si="0"/>
        <v xml:space="preserve"> </v>
      </c>
    </row>
    <row r="79" spans="1:5" ht="12.3">
      <c r="A79" s="23"/>
      <c r="B79" s="23" t="str">
        <f>IF(ISBLANK(A79)," ",VLOOKUP(A79,'Product Database'!A:B,2,FALSE))</f>
        <v xml:space="preserve"> </v>
      </c>
      <c r="C79" s="24" t="str">
        <f>IF(ISBLANK(A79),"",SUMIF(Input!A:A,A79,Input!B:B))</f>
        <v/>
      </c>
      <c r="D79" s="25"/>
      <c r="E79" s="22" t="str">
        <f t="shared" si="0"/>
        <v xml:space="preserve"> </v>
      </c>
    </row>
    <row r="80" spans="1:5" ht="12.3">
      <c r="A80" s="23"/>
      <c r="B80" s="23" t="str">
        <f>IF(ISBLANK(A80)," ",VLOOKUP(A80,'Product Database'!A:B,2,FALSE))</f>
        <v xml:space="preserve"> </v>
      </c>
      <c r="C80" s="24" t="str">
        <f>IF(ISBLANK(A80),"",SUMIF(Input!A:A,A80,Input!B:B))</f>
        <v/>
      </c>
      <c r="D80" s="25"/>
      <c r="E80" s="22" t="str">
        <f t="shared" si="0"/>
        <v xml:space="preserve"> </v>
      </c>
    </row>
    <row r="81" spans="1:5" ht="12.3">
      <c r="A81" s="23"/>
      <c r="B81" s="23" t="str">
        <f>IF(ISBLANK(A81)," ",VLOOKUP(A81,'Product Database'!A:B,2,FALSE))</f>
        <v xml:space="preserve"> </v>
      </c>
      <c r="C81" s="24" t="str">
        <f>IF(ISBLANK(A81),"",SUMIF(Input!A:A,A81,Input!B:B))</f>
        <v/>
      </c>
      <c r="D81" s="25"/>
      <c r="E81" s="22" t="str">
        <f t="shared" si="0"/>
        <v xml:space="preserve"> </v>
      </c>
    </row>
    <row r="82" spans="1:5" ht="12.3">
      <c r="A82" s="23"/>
      <c r="B82" s="23" t="str">
        <f>IF(ISBLANK(A82)," ",VLOOKUP(A82,'Product Database'!A:B,2,FALSE))</f>
        <v xml:space="preserve"> </v>
      </c>
      <c r="C82" s="24" t="str">
        <f>IF(ISBLANK(A82),"",SUMIF(Input!A:A,A82,Input!B:B))</f>
        <v/>
      </c>
      <c r="D82" s="25"/>
      <c r="E82" s="22" t="str">
        <f t="shared" si="0"/>
        <v xml:space="preserve"> </v>
      </c>
    </row>
    <row r="83" spans="1:5" ht="12.3">
      <c r="A83" s="23"/>
      <c r="B83" s="23" t="str">
        <f>IF(ISBLANK(A83)," ",VLOOKUP(A83,'Product Database'!A:B,2,FALSE))</f>
        <v xml:space="preserve"> </v>
      </c>
      <c r="C83" s="24" t="str">
        <f>IF(ISBLANK(A83),"",SUMIF(Input!A:A,A83,Input!B:B))</f>
        <v/>
      </c>
      <c r="D83" s="25"/>
      <c r="E83" s="22" t="str">
        <f t="shared" si="0"/>
        <v xml:space="preserve"> </v>
      </c>
    </row>
    <row r="84" spans="1:5" ht="12.3">
      <c r="A84" s="23"/>
      <c r="B84" s="23" t="str">
        <f>IF(ISBLANK(A84)," ",VLOOKUP(A84,'Product Database'!A:B,2,FALSE))</f>
        <v xml:space="preserve"> </v>
      </c>
      <c r="C84" s="24" t="str">
        <f>IF(ISBLANK(A84),"",SUMIF(Input!A:A,A84,Input!B:B))</f>
        <v/>
      </c>
      <c r="D84" s="25"/>
      <c r="E84" s="22" t="str">
        <f t="shared" si="0"/>
        <v xml:space="preserve"> </v>
      </c>
    </row>
    <row r="85" spans="1:5" ht="12.3">
      <c r="A85" s="23"/>
      <c r="B85" s="23" t="str">
        <f>IF(ISBLANK(A85)," ",VLOOKUP(A85,'Product Database'!A:B,2,FALSE))</f>
        <v xml:space="preserve"> </v>
      </c>
      <c r="C85" s="24" t="str">
        <f>IF(ISBLANK(A85),"",SUMIF(Input!A:A,A85,Input!B:B))</f>
        <v/>
      </c>
      <c r="D85" s="25"/>
      <c r="E85" s="22" t="str">
        <f t="shared" si="0"/>
        <v xml:space="preserve"> </v>
      </c>
    </row>
    <row r="86" spans="1:5" ht="12.3">
      <c r="A86" s="23"/>
      <c r="B86" s="23" t="str">
        <f>IF(ISBLANK(A86)," ",VLOOKUP(A86,'Product Database'!A:B,2,FALSE))</f>
        <v xml:space="preserve"> </v>
      </c>
      <c r="C86" s="24" t="str">
        <f>IF(ISBLANK(A86),"",SUMIF(Input!A:A,A86,Input!B:B))</f>
        <v/>
      </c>
      <c r="D86" s="25"/>
      <c r="E86" s="22" t="str">
        <f t="shared" si="0"/>
        <v xml:space="preserve"> </v>
      </c>
    </row>
    <row r="87" spans="1:5" ht="12.3">
      <c r="A87" s="23"/>
      <c r="B87" s="23" t="str">
        <f>IF(ISBLANK(A87)," ",VLOOKUP(A87,'Product Database'!A:B,2,FALSE))</f>
        <v xml:space="preserve"> </v>
      </c>
      <c r="C87" s="24" t="str">
        <f>IF(ISBLANK(A87),"",SUMIF(Input!A:A,A87,Input!B:B))</f>
        <v/>
      </c>
      <c r="D87" s="25"/>
      <c r="E87" s="22" t="str">
        <f t="shared" si="0"/>
        <v xml:space="preserve"> </v>
      </c>
    </row>
    <row r="88" spans="1:5" ht="12.3">
      <c r="A88" s="23"/>
      <c r="B88" s="23" t="str">
        <f>IF(ISBLANK(A88)," ",VLOOKUP(A88,'Product Database'!A:B,2,FALSE))</f>
        <v xml:space="preserve"> </v>
      </c>
      <c r="C88" s="24" t="str">
        <f>IF(ISBLANK(A88),"",SUMIF(Input!A:A,A88,Input!B:B))</f>
        <v/>
      </c>
      <c r="D88" s="25"/>
      <c r="E88" s="22" t="str">
        <f t="shared" si="0"/>
        <v xml:space="preserve"> </v>
      </c>
    </row>
    <row r="89" spans="1:5" ht="12.3">
      <c r="A89" s="23"/>
      <c r="B89" s="23" t="str">
        <f>IF(ISBLANK(A89)," ",VLOOKUP(A89,'Product Database'!A:B,2,FALSE))</f>
        <v xml:space="preserve"> </v>
      </c>
      <c r="C89" s="24" t="str">
        <f>IF(ISBLANK(A89),"",SUMIF(Input!A:A,A89,Input!B:B))</f>
        <v/>
      </c>
      <c r="D89" s="25"/>
      <c r="E89" s="22" t="str">
        <f t="shared" si="0"/>
        <v xml:space="preserve"> </v>
      </c>
    </row>
    <row r="90" spans="1:5" ht="12.3">
      <c r="A90" s="23"/>
      <c r="B90" s="23" t="str">
        <f>IF(ISBLANK(A90)," ",VLOOKUP(A90,'Product Database'!A:B,2,FALSE))</f>
        <v xml:space="preserve"> </v>
      </c>
      <c r="C90" s="24" t="str">
        <f>IF(ISBLANK(A90),"",SUMIF(Input!A:A,A90,Input!B:B))</f>
        <v/>
      </c>
      <c r="D90" s="25"/>
      <c r="E90" s="22" t="str">
        <f t="shared" si="0"/>
        <v xml:space="preserve"> </v>
      </c>
    </row>
    <row r="91" spans="1:5" ht="12.3">
      <c r="A91" s="23"/>
      <c r="B91" s="23" t="str">
        <f>IF(ISBLANK(A91)," ",VLOOKUP(A91,'Product Database'!A:B,2,FALSE))</f>
        <v xml:space="preserve"> </v>
      </c>
      <c r="C91" s="24" t="str">
        <f>IF(ISBLANK(A91),"",SUMIF(Input!A:A,A91,Input!B:B))</f>
        <v/>
      </c>
      <c r="D91" s="25"/>
      <c r="E91" s="22" t="str">
        <f t="shared" si="0"/>
        <v xml:space="preserve"> </v>
      </c>
    </row>
    <row r="92" spans="1:5" ht="12.3">
      <c r="A92" s="23"/>
      <c r="B92" s="23" t="str">
        <f>IF(ISBLANK(A92)," ",VLOOKUP(A92,'Product Database'!A:B,2,FALSE))</f>
        <v xml:space="preserve"> </v>
      </c>
      <c r="C92" s="24" t="str">
        <f>IF(ISBLANK(A92),"",SUMIF(Input!A:A,A92,Input!B:B))</f>
        <v/>
      </c>
      <c r="D92" s="25"/>
      <c r="E92" s="22" t="str">
        <f t="shared" si="0"/>
        <v xml:space="preserve"> </v>
      </c>
    </row>
    <row r="93" spans="1:5" ht="12.3">
      <c r="A93" s="23"/>
      <c r="B93" s="23" t="str">
        <f>IF(ISBLANK(A93)," ",VLOOKUP(A93,'Product Database'!A:B,2,FALSE))</f>
        <v xml:space="preserve"> </v>
      </c>
      <c r="C93" s="24" t="str">
        <f>IF(ISBLANK(A93),"",SUMIF(Input!A:A,A93,Input!B:B))</f>
        <v/>
      </c>
      <c r="D93" s="25"/>
      <c r="E93" s="22" t="str">
        <f t="shared" si="0"/>
        <v xml:space="preserve"> </v>
      </c>
    </row>
    <row r="94" spans="1:5" ht="12.3">
      <c r="A94" s="23"/>
      <c r="B94" s="23" t="str">
        <f>IF(ISBLANK(A94)," ",VLOOKUP(A94,'Product Database'!A:B,2,FALSE))</f>
        <v xml:space="preserve"> </v>
      </c>
      <c r="C94" s="24" t="str">
        <f>IF(ISBLANK(A94),"",SUMIF(Input!A:A,A94,Input!B:B))</f>
        <v/>
      </c>
      <c r="D94" s="25"/>
      <c r="E94" s="22" t="str">
        <f t="shared" si="0"/>
        <v xml:space="preserve"> </v>
      </c>
    </row>
    <row r="95" spans="1:5" ht="12.3">
      <c r="A95" s="23"/>
      <c r="B95" s="23" t="str">
        <f>IF(ISBLANK(A95)," ",VLOOKUP(A95,'Product Database'!A:B,2,FALSE))</f>
        <v xml:space="preserve"> </v>
      </c>
      <c r="C95" s="24" t="str">
        <f>IF(ISBLANK(A95),"",SUMIF(Input!A:A,A95,Input!B:B))</f>
        <v/>
      </c>
      <c r="D95" s="25"/>
      <c r="E95" s="22" t="str">
        <f t="shared" si="0"/>
        <v xml:space="preserve"> </v>
      </c>
    </row>
    <row r="96" spans="1:5" ht="12.3">
      <c r="A96" s="23"/>
      <c r="B96" s="23" t="str">
        <f>IF(ISBLANK(A96)," ",VLOOKUP(A96,'Product Database'!A:B,2,FALSE))</f>
        <v xml:space="preserve"> </v>
      </c>
      <c r="C96" s="24" t="str">
        <f>IF(ISBLANK(A96),"",SUMIF(Input!A:A,A96,Input!B:B))</f>
        <v/>
      </c>
      <c r="D96" s="25"/>
      <c r="E96" s="22" t="str">
        <f t="shared" si="0"/>
        <v xml:space="preserve"> </v>
      </c>
    </row>
    <row r="97" spans="1:5" ht="12.3">
      <c r="A97" s="23"/>
      <c r="B97" s="23" t="str">
        <f>IF(ISBLANK(A97)," ",VLOOKUP(A97,'Product Database'!A:B,2,FALSE))</f>
        <v xml:space="preserve"> </v>
      </c>
      <c r="C97" s="24" t="str">
        <f>IF(ISBLANK(A97),"",SUMIF(Input!A:A,A97,Input!B:B))</f>
        <v/>
      </c>
      <c r="D97" s="25"/>
      <c r="E97" s="22" t="str">
        <f t="shared" si="0"/>
        <v xml:space="preserve"> </v>
      </c>
    </row>
    <row r="98" spans="1:5" ht="12.3">
      <c r="A98" s="23"/>
      <c r="B98" s="23" t="str">
        <f>IF(ISBLANK(A98)," ",VLOOKUP(A98,'Product Database'!A:B,2,FALSE))</f>
        <v xml:space="preserve"> </v>
      </c>
      <c r="C98" s="24" t="str">
        <f>IF(ISBLANK(A98),"",SUMIF(Input!A:A,A98,Input!B:B))</f>
        <v/>
      </c>
      <c r="D98" s="25"/>
      <c r="E98" s="22" t="str">
        <f t="shared" si="0"/>
        <v xml:space="preserve"> </v>
      </c>
    </row>
    <row r="99" spans="1:5" ht="12.3">
      <c r="A99" s="23"/>
      <c r="B99" s="23" t="str">
        <f>IF(ISBLANK(A99)," ",VLOOKUP(A99,'Product Database'!A:B,2,FALSE))</f>
        <v xml:space="preserve"> </v>
      </c>
      <c r="C99" s="24" t="str">
        <f>IF(ISBLANK(A99),"",SUMIF(Input!A:A,A99,Input!B:B))</f>
        <v/>
      </c>
      <c r="D99" s="25"/>
      <c r="E99" s="22" t="str">
        <f t="shared" si="0"/>
        <v xml:space="preserve"> </v>
      </c>
    </row>
    <row r="100" spans="1:5" ht="12.3">
      <c r="A100" s="23"/>
      <c r="B100" s="23" t="str">
        <f>IF(ISBLANK(A100)," ",VLOOKUP(A100,'Product Database'!A:B,2,FALSE))</f>
        <v xml:space="preserve"> </v>
      </c>
      <c r="C100" s="24" t="str">
        <f>IF(ISBLANK(A100),"",SUMIF(Input!A:A,A100,Input!B:B))</f>
        <v/>
      </c>
      <c r="D100" s="25"/>
      <c r="E100" s="22" t="str">
        <f t="shared" si="0"/>
        <v xml:space="preserve"> </v>
      </c>
    </row>
    <row r="101" spans="1:5" ht="12.3">
      <c r="A101" s="23"/>
      <c r="B101" s="23" t="str">
        <f>IF(ISBLANK(A101)," ",VLOOKUP(A101,'Product Database'!A:B,2,FALSE))</f>
        <v xml:space="preserve"> </v>
      </c>
      <c r="C101" s="24" t="str">
        <f>IF(ISBLANK(A101),"",SUMIF(Input!A:A,A101,Input!B:B))</f>
        <v/>
      </c>
      <c r="D101" s="25"/>
      <c r="E101" s="22" t="str">
        <f t="shared" si="0"/>
        <v xml:space="preserve"> </v>
      </c>
    </row>
    <row r="102" spans="1:5" ht="12.3">
      <c r="A102" s="23"/>
      <c r="B102" s="23" t="str">
        <f>IF(ISBLANK(A102)," ",VLOOKUP(A102,'Product Database'!A:B,2,FALSE))</f>
        <v xml:space="preserve"> </v>
      </c>
      <c r="C102" s="24" t="str">
        <f>IF(ISBLANK(A102),"",SUMIF(Input!A:A,A102,Input!B:B))</f>
        <v/>
      </c>
      <c r="D102" s="25"/>
      <c r="E102" s="22" t="str">
        <f t="shared" si="0"/>
        <v xml:space="preserve"> </v>
      </c>
    </row>
    <row r="103" spans="1:5" ht="12.3">
      <c r="A103" s="23"/>
      <c r="B103" s="23" t="str">
        <f>IF(ISBLANK(A103)," ",VLOOKUP(A103,'Product Database'!A:B,2,FALSE))</f>
        <v xml:space="preserve"> </v>
      </c>
      <c r="C103" s="24" t="str">
        <f>IF(ISBLANK(A103),"",SUMIF(Input!A:A,A103,Input!B:B))</f>
        <v/>
      </c>
      <c r="D103" s="25"/>
      <c r="E103" s="22" t="str">
        <f t="shared" si="0"/>
        <v xml:space="preserve"> </v>
      </c>
    </row>
    <row r="104" spans="1:5" ht="12.3">
      <c r="A104" s="23"/>
      <c r="B104" s="23" t="str">
        <f>IF(ISBLANK(A104)," ",VLOOKUP(A104,'Product Database'!A:B,2,FALSE))</f>
        <v xml:space="preserve"> </v>
      </c>
      <c r="C104" s="24" t="str">
        <f>IF(ISBLANK(A104),"",SUMIF(Input!A:A,A104,Input!B:B))</f>
        <v/>
      </c>
      <c r="D104" s="25"/>
      <c r="E104" s="22" t="str">
        <f t="shared" si="0"/>
        <v xml:space="preserve"> </v>
      </c>
    </row>
    <row r="105" spans="1:5" ht="12.3">
      <c r="A105" s="26"/>
      <c r="B105" s="23" t="str">
        <f>IF(ISBLANK(A105)," ",VLOOKUP(A105,'Product Database'!A:B,2,FALSE))</f>
        <v xml:space="preserve"> </v>
      </c>
      <c r="C105" s="24" t="str">
        <f>IF(ISBLANK(A105),"",SUMIF(Input!A:A,A105,Input!B:B))</f>
        <v/>
      </c>
      <c r="D105" s="25"/>
      <c r="E105" s="22" t="str">
        <f t="shared" si="0"/>
        <v xml:space="preserve"> </v>
      </c>
    </row>
    <row r="106" spans="1:5" ht="12.3">
      <c r="A106" s="26"/>
      <c r="B106" s="23" t="str">
        <f>IF(ISBLANK(A106)," ",VLOOKUP(A106,'Product Database'!A:B,2,FALSE))</f>
        <v xml:space="preserve"> </v>
      </c>
      <c r="C106" s="24" t="str">
        <f>IF(ISBLANK(A106),"",SUMIF(Input!A:A,A106,Input!B:B))</f>
        <v/>
      </c>
      <c r="D106" s="25"/>
      <c r="E106" s="22" t="str">
        <f t="shared" si="0"/>
        <v xml:space="preserve"> </v>
      </c>
    </row>
    <row r="107" spans="1:5" ht="12.3">
      <c r="A107" s="26"/>
      <c r="B107" s="23" t="str">
        <f>IF(ISBLANK(A107)," ",VLOOKUP(A107,'Product Database'!A:B,2,FALSE))</f>
        <v xml:space="preserve"> </v>
      </c>
      <c r="C107" s="24" t="str">
        <f>IF(ISBLANK(A107),"",SUMIF(Input!A:A,A107,Input!B:B))</f>
        <v/>
      </c>
      <c r="D107" s="25"/>
      <c r="E107" s="22" t="str">
        <f t="shared" si="0"/>
        <v xml:space="preserve"> </v>
      </c>
    </row>
    <row r="108" spans="1:5" ht="12.3">
      <c r="A108" s="26"/>
      <c r="B108" s="23" t="str">
        <f>IF(ISBLANK(A108)," ",VLOOKUP(A108,'Product Database'!A:B,2,FALSE))</f>
        <v xml:space="preserve"> </v>
      </c>
      <c r="C108" s="24" t="str">
        <f>IF(ISBLANK(A108),"",SUMIF(Input!A:A,A108,Input!B:B))</f>
        <v/>
      </c>
      <c r="D108" s="25"/>
      <c r="E108" s="22" t="str">
        <f t="shared" si="0"/>
        <v xml:space="preserve"> </v>
      </c>
    </row>
    <row r="109" spans="1:5" ht="12.3">
      <c r="A109" s="26"/>
      <c r="B109" s="23" t="str">
        <f>IF(ISBLANK(A109)," ",VLOOKUP(A109,'Product Database'!A:B,2,FALSE))</f>
        <v xml:space="preserve"> </v>
      </c>
      <c r="C109" s="24" t="str">
        <f>IF(ISBLANK(A109),"",SUMIF(Input!A:A,A109,Input!B:B))</f>
        <v/>
      </c>
      <c r="D109" s="25"/>
      <c r="E109" s="22" t="str">
        <f t="shared" si="0"/>
        <v xml:space="preserve"> </v>
      </c>
    </row>
    <row r="110" spans="1:5" ht="12.3">
      <c r="A110" s="26"/>
      <c r="B110" s="23" t="str">
        <f>IF(ISBLANK(A110)," ",VLOOKUP(A110,'Product Database'!A:B,2,FALSE))</f>
        <v xml:space="preserve"> </v>
      </c>
      <c r="C110" s="24" t="str">
        <f>IF(ISBLANK(A110),"",SUMIF(Input!A:A,A110,Input!B:B))</f>
        <v/>
      </c>
      <c r="D110" s="25"/>
      <c r="E110" s="22" t="str">
        <f t="shared" si="0"/>
        <v xml:space="preserve"> </v>
      </c>
    </row>
    <row r="111" spans="1:5" ht="12.3">
      <c r="A111" s="26"/>
      <c r="B111" s="23" t="str">
        <f>IF(ISBLANK(A111)," ",VLOOKUP(A111,'Product Database'!A:B,2,FALSE))</f>
        <v xml:space="preserve"> </v>
      </c>
      <c r="C111" s="24" t="str">
        <f>IF(ISBLANK(A111),"",SUMIF(Input!A:A,A111,Input!B:B))</f>
        <v/>
      </c>
      <c r="D111" s="25"/>
      <c r="E111" s="22" t="str">
        <f t="shared" si="0"/>
        <v xml:space="preserve"> </v>
      </c>
    </row>
    <row r="112" spans="1:5" ht="12.3">
      <c r="A112" s="26"/>
      <c r="B112" s="23" t="str">
        <f>IF(ISBLANK(A112)," ",VLOOKUP(A112,'Product Database'!A:B,2,FALSE))</f>
        <v xml:space="preserve"> </v>
      </c>
      <c r="C112" s="24" t="str">
        <f>IF(ISBLANK(A112),"",SUMIF(Input!A:A,A112,Input!B:B))</f>
        <v/>
      </c>
      <c r="D112" s="25"/>
      <c r="E112" s="22" t="str">
        <f t="shared" si="0"/>
        <v xml:space="preserve"> </v>
      </c>
    </row>
    <row r="113" spans="1:5" ht="12.3">
      <c r="A113" s="26"/>
      <c r="B113" s="23" t="str">
        <f>IF(ISBLANK(A113)," ",VLOOKUP(A113,'Product Database'!A:B,2,FALSE))</f>
        <v xml:space="preserve"> </v>
      </c>
      <c r="C113" s="24" t="str">
        <f>IF(ISBLANK(A113),"",SUMIF(Input!A:A,A113,Input!B:B))</f>
        <v/>
      </c>
      <c r="D113" s="25"/>
      <c r="E113" s="22" t="str">
        <f t="shared" si="0"/>
        <v xml:space="preserve"> </v>
      </c>
    </row>
    <row r="114" spans="1:5" ht="12.3">
      <c r="A114" s="26"/>
      <c r="B114" s="23" t="str">
        <f>IF(ISBLANK(A114)," ",VLOOKUP(A114,'Product Database'!A:B,2,FALSE))</f>
        <v xml:space="preserve"> </v>
      </c>
      <c r="C114" s="24" t="str">
        <f>IF(ISBLANK(A114),"",SUMIF(Input!A:A,A114,Input!B:B))</f>
        <v/>
      </c>
      <c r="D114" s="25"/>
      <c r="E114" s="22" t="str">
        <f t="shared" si="0"/>
        <v xml:space="preserve"> </v>
      </c>
    </row>
    <row r="115" spans="1:5" ht="12.3">
      <c r="A115" s="26"/>
      <c r="B115" s="23" t="str">
        <f>IF(ISBLANK(A115)," ",VLOOKUP(A115,'Product Database'!A:B,2,FALSE))</f>
        <v xml:space="preserve"> </v>
      </c>
      <c r="C115" s="24" t="str">
        <f>IF(ISBLANK(A115),"",SUMIF(Input!A:A,A115,Input!B:B))</f>
        <v/>
      </c>
      <c r="D115" s="25"/>
      <c r="E115" s="22" t="str">
        <f t="shared" si="0"/>
        <v xml:space="preserve"> </v>
      </c>
    </row>
    <row r="116" spans="1:5" ht="12.3">
      <c r="A116" s="26"/>
      <c r="B116" s="23" t="str">
        <f>IF(ISBLANK(A116)," ",VLOOKUP(A116,'Product Database'!A:B,2,FALSE))</f>
        <v xml:space="preserve"> </v>
      </c>
      <c r="C116" s="24" t="str">
        <f>IF(ISBLANK(A116),"",SUMIF(Input!A:A,A116,Input!B:B))</f>
        <v/>
      </c>
      <c r="D116" s="25"/>
      <c r="E116" s="22" t="str">
        <f t="shared" si="0"/>
        <v xml:space="preserve"> </v>
      </c>
    </row>
    <row r="117" spans="1:5" ht="12.3">
      <c r="A117" s="26"/>
      <c r="B117" s="23" t="str">
        <f>IF(ISBLANK(A117)," ",VLOOKUP(A117,'Product Database'!A:B,2,FALSE))</f>
        <v xml:space="preserve"> </v>
      </c>
      <c r="C117" s="24" t="str">
        <f>IF(ISBLANK(A117),"",SUMIF(Input!A:A,A117,Input!B:B))</f>
        <v/>
      </c>
      <c r="D117" s="25"/>
      <c r="E117" s="22" t="str">
        <f t="shared" si="0"/>
        <v xml:space="preserve"> </v>
      </c>
    </row>
    <row r="118" spans="1:5" ht="12.3">
      <c r="A118" s="26"/>
      <c r="B118" s="23" t="str">
        <f>IF(ISBLANK(A118)," ",VLOOKUP(A118,'Product Database'!A:B,2,FALSE))</f>
        <v xml:space="preserve"> </v>
      </c>
      <c r="C118" s="24" t="str">
        <f>IF(ISBLANK(A118),"",SUMIF(Input!A:A,A118,Input!B:B))</f>
        <v/>
      </c>
      <c r="D118" s="25"/>
      <c r="E118" s="22" t="str">
        <f t="shared" si="0"/>
        <v xml:space="preserve"> </v>
      </c>
    </row>
    <row r="119" spans="1:5" ht="12.3">
      <c r="A119" s="26"/>
      <c r="B119" s="23" t="str">
        <f>IF(ISBLANK(A119)," ",VLOOKUP(A119,'Product Database'!A:B,2,FALSE))</f>
        <v xml:space="preserve"> </v>
      </c>
      <c r="C119" s="24" t="str">
        <f>IF(ISBLANK(A119),"",SUMIF(Input!A:A,A119,Input!B:B))</f>
        <v/>
      </c>
      <c r="D119" s="25"/>
      <c r="E119" s="22" t="str">
        <f t="shared" si="0"/>
        <v xml:space="preserve"> </v>
      </c>
    </row>
    <row r="120" spans="1:5" ht="12.3">
      <c r="A120" s="26"/>
      <c r="B120" s="23" t="str">
        <f>IF(ISBLANK(A120)," ",VLOOKUP(A120,'Product Database'!A:B,2,FALSE))</f>
        <v xml:space="preserve"> </v>
      </c>
      <c r="C120" s="24" t="str">
        <f>IF(ISBLANK(A120),"",SUMIF(Input!A:A,A120,Input!B:B))</f>
        <v/>
      </c>
      <c r="D120" s="25"/>
      <c r="E120" s="22" t="str">
        <f t="shared" si="0"/>
        <v xml:space="preserve"> </v>
      </c>
    </row>
    <row r="121" spans="1:5" ht="12.3">
      <c r="A121" s="26"/>
      <c r="B121" s="23" t="str">
        <f>IF(ISBLANK(A121)," ",VLOOKUP(A121,'Product Database'!A:B,2,FALSE))</f>
        <v xml:space="preserve"> </v>
      </c>
      <c r="C121" s="24" t="str">
        <f>IF(ISBLANK(A121),"",SUMIF(Input!A:A,A121,Input!B:B))</f>
        <v/>
      </c>
      <c r="D121" s="25"/>
      <c r="E121" s="22" t="str">
        <f t="shared" si="0"/>
        <v xml:space="preserve"> </v>
      </c>
    </row>
    <row r="122" spans="1:5" ht="12.3">
      <c r="A122" s="26"/>
      <c r="B122" s="23" t="str">
        <f>IF(ISBLANK(A122)," ",VLOOKUP(A122,'Product Database'!A:B,2,FALSE))</f>
        <v xml:space="preserve"> </v>
      </c>
      <c r="C122" s="24" t="str">
        <f>IF(ISBLANK(A122),"",SUMIF(Input!A:A,A122,Input!B:B))</f>
        <v/>
      </c>
      <c r="D122" s="25"/>
      <c r="E122" s="22" t="str">
        <f t="shared" si="0"/>
        <v xml:space="preserve"> </v>
      </c>
    </row>
    <row r="123" spans="1:5" ht="12.3">
      <c r="A123" s="26"/>
      <c r="B123" s="23" t="str">
        <f>IF(ISBLANK(A123)," ",VLOOKUP(A123,'Product Database'!A:B,2,FALSE))</f>
        <v xml:space="preserve"> </v>
      </c>
      <c r="C123" s="24" t="str">
        <f>IF(ISBLANK(A123),"",SUMIF(Input!A:A,A123,Input!B:B))</f>
        <v/>
      </c>
      <c r="D123" s="25"/>
      <c r="E123" s="22" t="str">
        <f t="shared" si="0"/>
        <v xml:space="preserve"> </v>
      </c>
    </row>
    <row r="124" spans="1:5" ht="12.3">
      <c r="A124" s="26"/>
      <c r="B124" s="23" t="str">
        <f>IF(ISBLANK(A124)," ",VLOOKUP(A124,'Product Database'!A:B,2,FALSE))</f>
        <v xml:space="preserve"> </v>
      </c>
      <c r="C124" s="24" t="str">
        <f>IF(ISBLANK(A124),"",SUMIF(Input!A:A,A124,Input!B:B))</f>
        <v/>
      </c>
      <c r="D124" s="25"/>
      <c r="E124" s="22" t="str">
        <f t="shared" si="0"/>
        <v xml:space="preserve"> </v>
      </c>
    </row>
    <row r="125" spans="1:5" ht="12.3">
      <c r="A125" s="26"/>
      <c r="B125" s="23" t="str">
        <f>IF(ISBLANK(A125)," ",VLOOKUP(A125,'Product Database'!A:B,2,FALSE))</f>
        <v xml:space="preserve"> </v>
      </c>
      <c r="C125" s="24" t="str">
        <f>IF(ISBLANK(A125),"",SUMIF(Input!A:A,A125,Input!B:B))</f>
        <v/>
      </c>
      <c r="D125" s="25"/>
      <c r="E125" s="22" t="str">
        <f t="shared" si="0"/>
        <v xml:space="preserve"> </v>
      </c>
    </row>
    <row r="126" spans="1:5" ht="12.3">
      <c r="A126" s="26"/>
      <c r="B126" s="23" t="str">
        <f>IF(ISBLANK(A126)," ",VLOOKUP(A126,'Product Database'!A:B,2,FALSE))</f>
        <v xml:space="preserve"> </v>
      </c>
      <c r="C126" s="24" t="str">
        <f>IF(ISBLANK(A126),"",SUMIF(Input!A:A,A126,Input!B:B))</f>
        <v/>
      </c>
      <c r="D126" s="25"/>
      <c r="E126" s="22" t="str">
        <f t="shared" si="0"/>
        <v xml:space="preserve"> </v>
      </c>
    </row>
    <row r="127" spans="1:5" ht="12.3">
      <c r="A127" s="26"/>
      <c r="B127" s="23" t="str">
        <f>IF(ISBLANK(A127)," ",VLOOKUP(A127,'Product Database'!A:B,2,FALSE))</f>
        <v xml:space="preserve"> </v>
      </c>
      <c r="C127" s="24" t="str">
        <f>IF(ISBLANK(A127),"",SUMIF(Input!A:A,A127,Input!B:B))</f>
        <v/>
      </c>
      <c r="D127" s="25"/>
      <c r="E127" s="22" t="str">
        <f t="shared" si="0"/>
        <v xml:space="preserve"> </v>
      </c>
    </row>
    <row r="128" spans="1:5" ht="12.3">
      <c r="A128" s="26"/>
      <c r="B128" s="23" t="str">
        <f>IF(ISBLANK(A128)," ",VLOOKUP(A128,'Product Database'!A:B,2,FALSE))</f>
        <v xml:space="preserve"> </v>
      </c>
      <c r="C128" s="24" t="str">
        <f>IF(ISBLANK(A128),"",SUMIF(Input!A:A,A128,Input!B:B))</f>
        <v/>
      </c>
      <c r="D128" s="25"/>
      <c r="E128" s="22" t="str">
        <f t="shared" si="0"/>
        <v xml:space="preserve"> </v>
      </c>
    </row>
    <row r="129" spans="1:5" ht="12.3">
      <c r="A129" s="26"/>
      <c r="B129" s="23" t="str">
        <f>IF(ISBLANK(A129)," ",VLOOKUP(A129,'Product Database'!A:B,2,FALSE))</f>
        <v xml:space="preserve"> </v>
      </c>
      <c r="C129" s="24" t="str">
        <f>IF(ISBLANK(A129),"",SUMIF(Input!A:A,A129,Input!B:B))</f>
        <v/>
      </c>
      <c r="D129" s="25"/>
      <c r="E129" s="22" t="str">
        <f t="shared" si="0"/>
        <v xml:space="preserve"> </v>
      </c>
    </row>
    <row r="130" spans="1:5" ht="12.3">
      <c r="A130" s="26"/>
      <c r="B130" s="23" t="str">
        <f>IF(ISBLANK(A130)," ",VLOOKUP(A130,'Product Database'!A:B,2,FALSE))</f>
        <v xml:space="preserve"> </v>
      </c>
      <c r="C130" s="24" t="str">
        <f>IF(ISBLANK(A130),"",SUMIF(Input!A:A,A130,Input!B:B))</f>
        <v/>
      </c>
      <c r="D130" s="25"/>
      <c r="E130" s="22" t="str">
        <f t="shared" si="0"/>
        <v xml:space="preserve"> </v>
      </c>
    </row>
    <row r="131" spans="1:5" ht="12.3">
      <c r="A131" s="26"/>
      <c r="B131" s="23" t="str">
        <f>IF(ISBLANK(A131)," ",VLOOKUP(A131,'Product Database'!A:B,2,FALSE))</f>
        <v xml:space="preserve"> </v>
      </c>
      <c r="C131" s="24" t="str">
        <f>IF(ISBLANK(A131),"",SUMIF(Input!A:A,A131,Input!B:B))</f>
        <v/>
      </c>
      <c r="D131" s="25"/>
      <c r="E131" s="22" t="str">
        <f t="shared" si="0"/>
        <v xml:space="preserve"> </v>
      </c>
    </row>
    <row r="132" spans="1:5" ht="12.3">
      <c r="A132" s="26"/>
      <c r="B132" s="23" t="str">
        <f>IF(ISBLANK(A132)," ",VLOOKUP(A132,'Product Database'!A:B,2,FALSE))</f>
        <v xml:space="preserve"> </v>
      </c>
      <c r="C132" s="24" t="str">
        <f>IF(ISBLANK(A132),"",SUMIF(Input!A:A,A132,Input!B:B))</f>
        <v/>
      </c>
      <c r="D132" s="25"/>
      <c r="E132" s="22" t="str">
        <f t="shared" si="0"/>
        <v xml:space="preserve"> </v>
      </c>
    </row>
    <row r="133" spans="1:5" ht="12.3">
      <c r="A133" s="26"/>
      <c r="B133" s="23" t="str">
        <f>IF(ISBLANK(A133)," ",VLOOKUP(A133,'Product Database'!A:B,2,FALSE))</f>
        <v xml:space="preserve"> </v>
      </c>
      <c r="C133" s="24" t="str">
        <f>IF(ISBLANK(A133),"",SUMIF(Input!A:A,A133,Input!B:B))</f>
        <v/>
      </c>
      <c r="D133" s="25"/>
      <c r="E133" s="22" t="str">
        <f t="shared" si="0"/>
        <v xml:space="preserve"> </v>
      </c>
    </row>
    <row r="134" spans="1:5" ht="12.3">
      <c r="A134" s="26"/>
      <c r="B134" s="23" t="str">
        <f>IF(ISBLANK(A134)," ",VLOOKUP(A134,'Product Database'!A:B,2,FALSE))</f>
        <v xml:space="preserve"> </v>
      </c>
      <c r="C134" s="24" t="str">
        <f>IF(ISBLANK(A134),"",SUMIF(Input!A:A,A134,Input!B:B))</f>
        <v/>
      </c>
      <c r="D134" s="25"/>
      <c r="E134" s="22" t="str">
        <f t="shared" si="0"/>
        <v xml:space="preserve"> </v>
      </c>
    </row>
    <row r="135" spans="1:5" ht="12.3">
      <c r="A135" s="26"/>
      <c r="B135" s="23" t="str">
        <f>IF(ISBLANK(A135)," ",VLOOKUP(A135,'Product Database'!A:B,2,FALSE))</f>
        <v xml:space="preserve"> </v>
      </c>
      <c r="C135" s="24" t="str">
        <f>IF(ISBLANK(A135),"",SUMIF(Input!A:A,A135,Input!B:B))</f>
        <v/>
      </c>
      <c r="D135" s="25"/>
      <c r="E135" s="22" t="str">
        <f t="shared" si="0"/>
        <v xml:space="preserve"> </v>
      </c>
    </row>
    <row r="136" spans="1:5" ht="12.3">
      <c r="A136" s="26"/>
      <c r="B136" s="23" t="str">
        <f>IF(ISBLANK(A136)," ",VLOOKUP(A136,'Product Database'!A:B,2,FALSE))</f>
        <v xml:space="preserve"> </v>
      </c>
      <c r="C136" s="24" t="str">
        <f>IF(ISBLANK(A136),"",SUMIF(Input!A:A,A136,Input!B:B))</f>
        <v/>
      </c>
      <c r="D136" s="25"/>
      <c r="E136" s="22" t="str">
        <f t="shared" si="0"/>
        <v xml:space="preserve"> </v>
      </c>
    </row>
    <row r="137" spans="1:5" ht="12.3">
      <c r="A137" s="26"/>
      <c r="B137" s="23" t="str">
        <f>IF(ISBLANK(A137)," ",VLOOKUP(A137,'Product Database'!A:B,2,FALSE))</f>
        <v xml:space="preserve"> </v>
      </c>
      <c r="C137" s="24" t="str">
        <f>IF(ISBLANK(A137),"",SUMIF(Input!A:A,A137,Input!B:B))</f>
        <v/>
      </c>
      <c r="D137" s="25"/>
      <c r="E137" s="22" t="str">
        <f t="shared" si="0"/>
        <v xml:space="preserve"> </v>
      </c>
    </row>
    <row r="138" spans="1:5" ht="12.3">
      <c r="A138" s="26"/>
      <c r="B138" s="23" t="str">
        <f>IF(ISBLANK(A138)," ",VLOOKUP(A138,'Product Database'!A:B,2,FALSE))</f>
        <v xml:space="preserve"> </v>
      </c>
      <c r="C138" s="24" t="str">
        <f>IF(ISBLANK(A138),"",SUMIF(Input!A:A,A138,Input!B:B))</f>
        <v/>
      </c>
      <c r="D138" s="25"/>
      <c r="E138" s="22" t="str">
        <f t="shared" si="0"/>
        <v xml:space="preserve"> </v>
      </c>
    </row>
    <row r="139" spans="1:5" ht="12.3">
      <c r="A139" s="26"/>
      <c r="B139" s="23" t="str">
        <f>IF(ISBLANK(A139)," ",VLOOKUP(A139,'Product Database'!A:B,2,FALSE))</f>
        <v xml:space="preserve"> </v>
      </c>
      <c r="C139" s="24" t="str">
        <f>IF(ISBLANK(A139),"",SUMIF(Input!A:A,A139,Input!B:B))</f>
        <v/>
      </c>
      <c r="D139" s="25"/>
      <c r="E139" s="22" t="str">
        <f t="shared" si="0"/>
        <v xml:space="preserve"> </v>
      </c>
    </row>
    <row r="140" spans="1:5" ht="12.3">
      <c r="A140" s="26"/>
      <c r="B140" s="23" t="str">
        <f>IF(ISBLANK(A140)," ",VLOOKUP(A140,'Product Database'!A:B,2,FALSE))</f>
        <v xml:space="preserve"> </v>
      </c>
      <c r="C140" s="24" t="str">
        <f>IF(ISBLANK(A140),"",SUMIF(Input!A:A,A140,Input!B:B))</f>
        <v/>
      </c>
      <c r="D140" s="25"/>
      <c r="E140" s="22" t="str">
        <f t="shared" si="0"/>
        <v xml:space="preserve"> </v>
      </c>
    </row>
    <row r="141" spans="1:5" ht="12.3">
      <c r="A141" s="26"/>
      <c r="B141" s="23" t="str">
        <f>IF(ISBLANK(A141)," ",VLOOKUP(A141,'Product Database'!A:B,2,FALSE))</f>
        <v xml:space="preserve"> </v>
      </c>
      <c r="C141" s="24" t="str">
        <f>IF(ISBLANK(A141),"",SUMIF(Input!A:A,A141,Input!B:B))</f>
        <v/>
      </c>
      <c r="D141" s="25"/>
      <c r="E141" s="22" t="str">
        <f t="shared" si="0"/>
        <v xml:space="preserve"> </v>
      </c>
    </row>
    <row r="142" spans="1:5" ht="12.3">
      <c r="A142" s="26"/>
      <c r="B142" s="23" t="str">
        <f>IF(ISBLANK(A142)," ",VLOOKUP(A142,'Product Database'!A:B,2,FALSE))</f>
        <v xml:space="preserve"> </v>
      </c>
      <c r="C142" s="24" t="str">
        <f>IF(ISBLANK(A142),"",SUMIF(Input!A:A,A142,Input!B:B))</f>
        <v/>
      </c>
      <c r="D142" s="25"/>
      <c r="E142" s="22" t="str">
        <f t="shared" si="0"/>
        <v xml:space="preserve"> </v>
      </c>
    </row>
    <row r="143" spans="1:5" ht="12.3">
      <c r="A143" s="26"/>
      <c r="B143" s="23" t="str">
        <f>IF(ISBLANK(A143)," ",VLOOKUP(A143,'Product Database'!A:B,2,FALSE))</f>
        <v xml:space="preserve"> </v>
      </c>
      <c r="C143" s="24" t="str">
        <f>IF(ISBLANK(A143),"",SUMIF(Input!A:A,A143,Input!B:B))</f>
        <v/>
      </c>
      <c r="D143" s="25"/>
      <c r="E143" s="22" t="str">
        <f t="shared" si="0"/>
        <v xml:space="preserve"> </v>
      </c>
    </row>
    <row r="144" spans="1:5" ht="12.3">
      <c r="A144" s="26"/>
      <c r="B144" s="23" t="str">
        <f>IF(ISBLANK(A144)," ",VLOOKUP(A144,'Product Database'!A:B,2,FALSE))</f>
        <v xml:space="preserve"> </v>
      </c>
      <c r="C144" s="24" t="str">
        <f>IF(ISBLANK(A144),"",SUMIF(Input!A:A,A144,Input!B:B))</f>
        <v/>
      </c>
      <c r="D144" s="25"/>
      <c r="E144" s="22" t="str">
        <f t="shared" si="0"/>
        <v xml:space="preserve"> </v>
      </c>
    </row>
    <row r="145" spans="1:5" ht="12.3">
      <c r="A145" s="26"/>
      <c r="B145" s="23" t="str">
        <f>IF(ISBLANK(A145)," ",VLOOKUP(A145,'Product Database'!A:B,2,FALSE))</f>
        <v xml:space="preserve"> </v>
      </c>
      <c r="C145" s="24" t="str">
        <f>IF(ISBLANK(A145),"",SUMIF(Input!A:A,A145,Input!B:B))</f>
        <v/>
      </c>
      <c r="D145" s="25"/>
      <c r="E145" s="22" t="str">
        <f t="shared" si="0"/>
        <v xml:space="preserve"> </v>
      </c>
    </row>
    <row r="146" spans="1:5" ht="12.3">
      <c r="A146" s="26"/>
      <c r="B146" s="23" t="str">
        <f>IF(ISBLANK(A146)," ",VLOOKUP(A146,'Product Database'!A:B,2,FALSE))</f>
        <v xml:space="preserve"> </v>
      </c>
      <c r="C146" s="24" t="str">
        <f>IF(ISBLANK(A146),"",SUMIF(Input!A:A,A146,Input!B:B))</f>
        <v/>
      </c>
      <c r="D146" s="25"/>
      <c r="E146" s="22" t="str">
        <f t="shared" si="0"/>
        <v xml:space="preserve"> </v>
      </c>
    </row>
    <row r="147" spans="1:5" ht="12.3">
      <c r="A147" s="26"/>
      <c r="B147" s="23" t="str">
        <f>IF(ISBLANK(A147)," ",VLOOKUP(A147,'Product Database'!A:B,2,FALSE))</f>
        <v xml:space="preserve"> </v>
      </c>
      <c r="C147" s="24" t="str">
        <f>IF(ISBLANK(A147),"",SUMIF(Input!A:A,A147,Input!B:B))</f>
        <v/>
      </c>
      <c r="D147" s="25"/>
      <c r="E147" s="22" t="str">
        <f t="shared" si="0"/>
        <v xml:space="preserve"> </v>
      </c>
    </row>
    <row r="148" spans="1:5" ht="12.3">
      <c r="A148" s="26"/>
      <c r="B148" s="23" t="str">
        <f>IF(ISBLANK(A148)," ",VLOOKUP(A148,'Product Database'!A:B,2,FALSE))</f>
        <v xml:space="preserve"> </v>
      </c>
      <c r="C148" s="24" t="str">
        <f>IF(ISBLANK(A148),"",SUMIF(Input!A:A,A148,Input!B:B))</f>
        <v/>
      </c>
      <c r="D148" s="25"/>
      <c r="E148" s="22" t="str">
        <f t="shared" si="0"/>
        <v xml:space="preserve"> </v>
      </c>
    </row>
    <row r="149" spans="1:5" ht="12.3">
      <c r="A149" s="26"/>
      <c r="B149" s="23" t="str">
        <f>IF(ISBLANK(A149)," ",VLOOKUP(A149,'Product Database'!A:B,2,FALSE))</f>
        <v xml:space="preserve"> </v>
      </c>
      <c r="C149" s="24" t="str">
        <f>IF(ISBLANK(A149),"",SUMIF(Input!A:A,A149,Input!B:B))</f>
        <v/>
      </c>
      <c r="D149" s="25"/>
      <c r="E149" s="22" t="str">
        <f t="shared" si="0"/>
        <v xml:space="preserve"> </v>
      </c>
    </row>
    <row r="150" spans="1:5" ht="12.3">
      <c r="A150" s="26"/>
      <c r="B150" s="23" t="str">
        <f>IF(ISBLANK(A150)," ",VLOOKUP(A150,'Product Database'!A:B,2,FALSE))</f>
        <v xml:space="preserve"> </v>
      </c>
      <c r="C150" s="24" t="str">
        <f>IF(ISBLANK(A150),"",SUMIF(Input!A:A,A150,Input!B:B))</f>
        <v/>
      </c>
      <c r="D150" s="25"/>
      <c r="E150" s="22" t="str">
        <f t="shared" si="0"/>
        <v xml:space="preserve"> </v>
      </c>
    </row>
    <row r="151" spans="1:5" ht="12.3">
      <c r="A151" s="26"/>
      <c r="B151" s="23" t="str">
        <f>IF(ISBLANK(A151)," ",VLOOKUP(A151,'Product Database'!A:B,2,FALSE))</f>
        <v xml:space="preserve"> </v>
      </c>
      <c r="C151" s="24" t="str">
        <f>IF(ISBLANK(A151),"",SUMIF(Input!A:A,A151,Input!B:B))</f>
        <v/>
      </c>
      <c r="D151" s="25"/>
      <c r="E151" s="22" t="str">
        <f t="shared" si="0"/>
        <v xml:space="preserve"> </v>
      </c>
    </row>
    <row r="152" spans="1:5" ht="12.3">
      <c r="A152" s="26"/>
      <c r="B152" s="23" t="str">
        <f>IF(ISBLANK(A152)," ",VLOOKUP(A152,'Product Database'!A:B,2,FALSE))</f>
        <v xml:space="preserve"> </v>
      </c>
      <c r="C152" s="24" t="str">
        <f>IF(ISBLANK(A152),"",SUMIF(Input!A:A,A152,Input!B:B))</f>
        <v/>
      </c>
      <c r="D152" s="25"/>
      <c r="E152" s="22" t="str">
        <f t="shared" si="0"/>
        <v xml:space="preserve"> </v>
      </c>
    </row>
    <row r="153" spans="1:5" ht="12.3">
      <c r="A153" s="26"/>
      <c r="B153" s="23" t="str">
        <f>IF(ISBLANK(A153)," ",VLOOKUP(A153,'Product Database'!A:B,2,FALSE))</f>
        <v xml:space="preserve"> </v>
      </c>
      <c r="C153" s="24" t="str">
        <f>IF(ISBLANK(A153),"",SUMIF(Input!A:A,A153,Input!B:B))</f>
        <v/>
      </c>
      <c r="D153" s="25"/>
      <c r="E153" s="22" t="str">
        <f t="shared" si="0"/>
        <v xml:space="preserve"> </v>
      </c>
    </row>
    <row r="154" spans="1:5" ht="12.3">
      <c r="A154" s="26"/>
      <c r="B154" s="23" t="str">
        <f>IF(ISBLANK(A154)," ",VLOOKUP(A154,'Product Database'!A:B,2,FALSE))</f>
        <v xml:space="preserve"> </v>
      </c>
      <c r="C154" s="24" t="str">
        <f>IF(ISBLANK(A154),"",SUMIF(Input!A:A,A154,Input!B:B))</f>
        <v/>
      </c>
      <c r="D154" s="25"/>
      <c r="E154" s="22" t="str">
        <f t="shared" si="0"/>
        <v xml:space="preserve"> </v>
      </c>
    </row>
    <row r="155" spans="1:5" ht="12.3">
      <c r="A155" s="26"/>
      <c r="B155" s="23" t="str">
        <f>IF(ISBLANK(A155)," ",VLOOKUP(A155,'Product Database'!A:B,2,FALSE))</f>
        <v xml:space="preserve"> </v>
      </c>
      <c r="C155" s="24" t="str">
        <f>IF(ISBLANK(A155),"",SUMIF(Input!A:A,A155,Input!B:B))</f>
        <v/>
      </c>
      <c r="D155" s="25"/>
      <c r="E155" s="22" t="str">
        <f t="shared" si="0"/>
        <v xml:space="preserve"> </v>
      </c>
    </row>
    <row r="156" spans="1:5" ht="12.3">
      <c r="A156" s="26"/>
      <c r="B156" s="23" t="str">
        <f>IF(ISBLANK(A156)," ",VLOOKUP(A156,'Product Database'!A:B,2,FALSE))</f>
        <v xml:space="preserve"> </v>
      </c>
      <c r="C156" s="24" t="str">
        <f>IF(ISBLANK(A156),"",SUMIF(Input!A:A,A156,Input!B:B))</f>
        <v/>
      </c>
      <c r="D156" s="25"/>
      <c r="E156" s="22" t="str">
        <f t="shared" si="0"/>
        <v xml:space="preserve"> </v>
      </c>
    </row>
    <row r="157" spans="1:5" ht="12.3">
      <c r="A157" s="26"/>
      <c r="B157" s="23" t="str">
        <f>IF(ISBLANK(A157)," ",VLOOKUP(A157,'Product Database'!A:B,2,FALSE))</f>
        <v xml:space="preserve"> </v>
      </c>
      <c r="C157" s="24" t="str">
        <f>IF(ISBLANK(A157),"",SUMIF(Input!A:A,A157,Input!B:B))</f>
        <v/>
      </c>
      <c r="D157" s="25"/>
      <c r="E157" s="22" t="str">
        <f t="shared" si="0"/>
        <v xml:space="preserve"> </v>
      </c>
    </row>
    <row r="158" spans="1:5" ht="12.3">
      <c r="A158" s="26"/>
      <c r="B158" s="23" t="str">
        <f>IF(ISBLANK(A158)," ",VLOOKUP(A158,'Product Database'!A:B,2,FALSE))</f>
        <v xml:space="preserve"> </v>
      </c>
      <c r="C158" s="24" t="str">
        <f>IF(ISBLANK(A158),"",SUMIF(Input!A:A,A158,Input!B:B))</f>
        <v/>
      </c>
      <c r="D158" s="25"/>
      <c r="E158" s="22" t="str">
        <f t="shared" si="0"/>
        <v xml:space="preserve"> </v>
      </c>
    </row>
    <row r="159" spans="1:5" ht="12.3">
      <c r="A159" s="26"/>
      <c r="B159" s="23" t="str">
        <f>IF(ISBLANK(A159)," ",VLOOKUP(A159,'Product Database'!A:B,2,FALSE))</f>
        <v xml:space="preserve"> </v>
      </c>
      <c r="C159" s="24" t="str">
        <f>IF(ISBLANK(A159),"",SUMIF(Input!A:A,A159,Input!B:B))</f>
        <v/>
      </c>
      <c r="D159" s="25"/>
      <c r="E159" s="22" t="str">
        <f t="shared" si="0"/>
        <v xml:space="preserve"> </v>
      </c>
    </row>
    <row r="160" spans="1:5" ht="12.3">
      <c r="A160" s="26"/>
      <c r="B160" s="23" t="str">
        <f>IF(ISBLANK(A160)," ",VLOOKUP(A160,'Product Database'!A:B,2,FALSE))</f>
        <v xml:space="preserve"> </v>
      </c>
      <c r="C160" s="24" t="str">
        <f>IF(ISBLANK(A160),"",SUMIF(Input!A:A,A160,Input!B:B))</f>
        <v/>
      </c>
      <c r="D160" s="25"/>
      <c r="E160" s="22" t="str">
        <f t="shared" si="0"/>
        <v xml:space="preserve"> </v>
      </c>
    </row>
    <row r="161" spans="1:5" ht="12.3">
      <c r="A161" s="26"/>
      <c r="B161" s="23" t="str">
        <f>IF(ISBLANK(A161)," ",VLOOKUP(A161,'Product Database'!A:B,2,FALSE))</f>
        <v xml:space="preserve"> </v>
      </c>
      <c r="C161" s="24" t="str">
        <f>IF(ISBLANK(A161),"",SUMIF(Input!A:A,A161,Input!B:B))</f>
        <v/>
      </c>
      <c r="D161" s="25"/>
      <c r="E161" s="22" t="str">
        <f t="shared" si="0"/>
        <v xml:space="preserve"> </v>
      </c>
    </row>
    <row r="162" spans="1:5" ht="12.3">
      <c r="A162" s="26"/>
      <c r="B162" s="23" t="str">
        <f>IF(ISBLANK(A162)," ",VLOOKUP(A162,'Product Database'!A:B,2,FALSE))</f>
        <v xml:space="preserve"> </v>
      </c>
      <c r="C162" s="24" t="str">
        <f>IF(ISBLANK(A162),"",SUMIF(Input!A:A,A162,Input!B:B))</f>
        <v/>
      </c>
      <c r="D162" s="25"/>
      <c r="E162" s="22" t="str">
        <f t="shared" si="0"/>
        <v xml:space="preserve"> </v>
      </c>
    </row>
    <row r="163" spans="1:5" ht="12.3">
      <c r="A163" s="26"/>
      <c r="B163" s="23" t="str">
        <f>IF(ISBLANK(A163)," ",VLOOKUP(A163,'Product Database'!A:B,2,FALSE))</f>
        <v xml:space="preserve"> </v>
      </c>
      <c r="C163" s="24" t="str">
        <f>IF(ISBLANK(A163),"",SUMIF(Input!A:A,A163,Input!B:B))</f>
        <v/>
      </c>
      <c r="D163" s="25"/>
      <c r="E163" s="22" t="str">
        <f t="shared" si="0"/>
        <v xml:space="preserve"> </v>
      </c>
    </row>
    <row r="164" spans="1:5" ht="12.3">
      <c r="A164" s="26"/>
      <c r="B164" s="23" t="str">
        <f>IF(ISBLANK(A164)," ",VLOOKUP(A164,'Product Database'!A:B,2,FALSE))</f>
        <v xml:space="preserve"> </v>
      </c>
      <c r="C164" s="24" t="str">
        <f>IF(ISBLANK(A164),"",SUMIF(Input!A:A,A164,Input!B:B))</f>
        <v/>
      </c>
      <c r="D164" s="25"/>
      <c r="E164" s="22" t="str">
        <f t="shared" si="0"/>
        <v xml:space="preserve"> </v>
      </c>
    </row>
    <row r="165" spans="1:5" ht="12.3">
      <c r="A165" s="26"/>
      <c r="B165" s="23" t="str">
        <f>IF(ISBLANK(A165)," ",VLOOKUP(A165,'Product Database'!A:B,2,FALSE))</f>
        <v xml:space="preserve"> </v>
      </c>
      <c r="C165" s="24" t="str">
        <f>IF(ISBLANK(A165),"",SUMIF(Input!A:A,A165,Input!B:B))</f>
        <v/>
      </c>
      <c r="D165" s="25"/>
      <c r="E165" s="22" t="str">
        <f t="shared" si="0"/>
        <v xml:space="preserve"> </v>
      </c>
    </row>
    <row r="166" spans="1:5" ht="12.3">
      <c r="A166" s="26"/>
      <c r="B166" s="23" t="str">
        <f>IF(ISBLANK(A166)," ",VLOOKUP(A166,'Product Database'!A:B,2,FALSE))</f>
        <v xml:space="preserve"> </v>
      </c>
      <c r="C166" s="24" t="str">
        <f>IF(ISBLANK(A166),"",SUMIF(Input!A:A,A166,Input!B:B))</f>
        <v/>
      </c>
      <c r="D166" s="25"/>
      <c r="E166" s="22" t="str">
        <f t="shared" si="0"/>
        <v xml:space="preserve"> </v>
      </c>
    </row>
    <row r="167" spans="1:5" ht="12.3">
      <c r="A167" s="26"/>
      <c r="B167" s="23" t="str">
        <f>IF(ISBLANK(A167)," ",VLOOKUP(A167,'Product Database'!A:B,2,FALSE))</f>
        <v xml:space="preserve"> </v>
      </c>
      <c r="C167" s="24" t="str">
        <f>IF(ISBLANK(A167),"",SUMIF(Input!A:A,A167,Input!B:B))</f>
        <v/>
      </c>
      <c r="D167" s="25"/>
      <c r="E167" s="22" t="str">
        <f t="shared" si="0"/>
        <v xml:space="preserve"> </v>
      </c>
    </row>
    <row r="168" spans="1:5" ht="12.3">
      <c r="A168" s="26"/>
      <c r="B168" s="23" t="str">
        <f>IF(ISBLANK(A168)," ",VLOOKUP(A168,'Product Database'!A:B,2,FALSE))</f>
        <v xml:space="preserve"> </v>
      </c>
      <c r="C168" s="24" t="str">
        <f>IF(ISBLANK(A168),"",SUMIF(Input!A:A,A168,Input!B:B))</f>
        <v/>
      </c>
      <c r="D168" s="25"/>
      <c r="E168" s="22" t="str">
        <f t="shared" si="0"/>
        <v xml:space="preserve"> </v>
      </c>
    </row>
    <row r="169" spans="1:5" ht="12.3">
      <c r="A169" s="26"/>
      <c r="B169" s="23" t="str">
        <f>IF(ISBLANK(A169)," ",VLOOKUP(A169,'Product Database'!A:B,2,FALSE))</f>
        <v xml:space="preserve"> </v>
      </c>
      <c r="C169" s="24" t="str">
        <f>IF(ISBLANK(A169),"",SUMIF(Input!A:A,A169,Input!B:B))</f>
        <v/>
      </c>
      <c r="D169" s="25"/>
      <c r="E169" s="22" t="str">
        <f t="shared" si="0"/>
        <v xml:space="preserve"> </v>
      </c>
    </row>
    <row r="170" spans="1:5" ht="12.3">
      <c r="A170" s="26"/>
      <c r="B170" s="23" t="str">
        <f>IF(ISBLANK(A170)," ",VLOOKUP(A170,'Product Database'!A:B,2,FALSE))</f>
        <v xml:space="preserve"> </v>
      </c>
      <c r="C170" s="24" t="str">
        <f>IF(ISBLANK(A170),"",SUMIF(Input!A:A,A170,Input!B:B))</f>
        <v/>
      </c>
      <c r="D170" s="25"/>
      <c r="E170" s="22" t="str">
        <f t="shared" si="0"/>
        <v xml:space="preserve"> </v>
      </c>
    </row>
    <row r="171" spans="1:5" ht="12.3">
      <c r="A171" s="26"/>
      <c r="B171" s="23" t="str">
        <f>IF(ISBLANK(A171)," ",VLOOKUP(A171,'Product Database'!A:B,2,FALSE))</f>
        <v xml:space="preserve"> </v>
      </c>
      <c r="C171" s="24" t="str">
        <f>IF(ISBLANK(A171),"",SUMIF(Input!A:A,A171,Input!B:B))</f>
        <v/>
      </c>
      <c r="D171" s="25"/>
      <c r="E171" s="22" t="str">
        <f t="shared" si="0"/>
        <v xml:space="preserve"> </v>
      </c>
    </row>
    <row r="172" spans="1:5" ht="12.3">
      <c r="A172" s="26"/>
      <c r="B172" s="23" t="str">
        <f>IF(ISBLANK(A172)," ",VLOOKUP(A172,'Product Database'!A:B,2,FALSE))</f>
        <v xml:space="preserve"> </v>
      </c>
      <c r="C172" s="24" t="str">
        <f>IF(ISBLANK(A172),"",SUMIF(Input!A:A,A172,Input!B:B))</f>
        <v/>
      </c>
      <c r="D172" s="25"/>
      <c r="E172" s="22" t="str">
        <f t="shared" si="0"/>
        <v xml:space="preserve"> </v>
      </c>
    </row>
    <row r="173" spans="1:5" ht="12.3">
      <c r="A173" s="26"/>
      <c r="B173" s="23" t="str">
        <f>IF(ISBLANK(A173)," ",VLOOKUP(A173,'Product Database'!A:B,2,FALSE))</f>
        <v xml:space="preserve"> </v>
      </c>
      <c r="C173" s="24" t="str">
        <f>IF(ISBLANK(A173),"",SUMIF(Input!A:A,A173,Input!B:B))</f>
        <v/>
      </c>
      <c r="D173" s="25"/>
      <c r="E173" s="22" t="str">
        <f t="shared" si="0"/>
        <v xml:space="preserve"> </v>
      </c>
    </row>
    <row r="174" spans="1:5" ht="12.3">
      <c r="A174" s="26"/>
      <c r="B174" s="23" t="str">
        <f>IF(ISBLANK(A174)," ",VLOOKUP(A174,'Product Database'!A:B,2,FALSE))</f>
        <v xml:space="preserve"> </v>
      </c>
      <c r="C174" s="24" t="str">
        <f>IF(ISBLANK(A174),"",SUMIF(Input!A:A,A174,Input!B:B))</f>
        <v/>
      </c>
      <c r="D174" s="25"/>
      <c r="E174" s="22" t="str">
        <f t="shared" si="0"/>
        <v xml:space="preserve"> </v>
      </c>
    </row>
    <row r="175" spans="1:5" ht="12.3">
      <c r="A175" s="26"/>
      <c r="B175" s="23" t="str">
        <f>IF(ISBLANK(A175)," ",VLOOKUP(A175,'Product Database'!A:B,2,FALSE))</f>
        <v xml:space="preserve"> </v>
      </c>
      <c r="C175" s="24" t="str">
        <f>IF(ISBLANK(A175),"",SUMIF(Input!A:A,A175,Input!B:B))</f>
        <v/>
      </c>
      <c r="D175" s="25"/>
      <c r="E175" s="22" t="str">
        <f t="shared" si="0"/>
        <v xml:space="preserve"> </v>
      </c>
    </row>
    <row r="176" spans="1:5" ht="12.3">
      <c r="A176" s="26"/>
      <c r="B176" s="23" t="str">
        <f>IF(ISBLANK(A176)," ",VLOOKUP(A176,'Product Database'!A:B,2,FALSE))</f>
        <v xml:space="preserve"> </v>
      </c>
      <c r="C176" s="24" t="str">
        <f>IF(ISBLANK(A176),"",SUMIF(Input!A:A,A176,Input!B:B))</f>
        <v/>
      </c>
      <c r="D176" s="25"/>
      <c r="E176" s="22" t="str">
        <f t="shared" si="0"/>
        <v xml:space="preserve"> </v>
      </c>
    </row>
    <row r="177" spans="1:5" ht="12.3">
      <c r="A177" s="26"/>
      <c r="B177" s="23" t="str">
        <f>IF(ISBLANK(A177)," ",VLOOKUP(A177,'Product Database'!A:B,2,FALSE))</f>
        <v xml:space="preserve"> </v>
      </c>
      <c r="C177" s="24" t="str">
        <f>IF(ISBLANK(A177),"",SUMIF(Input!A:A,A177,Input!B:B))</f>
        <v/>
      </c>
      <c r="D177" s="25"/>
      <c r="E177" s="22" t="str">
        <f t="shared" si="0"/>
        <v xml:space="preserve"> </v>
      </c>
    </row>
    <row r="178" spans="1:5" ht="12.3">
      <c r="A178" s="26"/>
      <c r="B178" s="23" t="str">
        <f>IF(ISBLANK(A178)," ",VLOOKUP(A178,'Product Database'!A:B,2,FALSE))</f>
        <v xml:space="preserve"> </v>
      </c>
      <c r="C178" s="24" t="str">
        <f>IF(ISBLANK(A178),"",SUMIF(Input!A:A,A178,Input!B:B))</f>
        <v/>
      </c>
      <c r="D178" s="25"/>
      <c r="E178" s="22" t="str">
        <f t="shared" si="0"/>
        <v xml:space="preserve"> </v>
      </c>
    </row>
    <row r="179" spans="1:5" ht="12.3">
      <c r="A179" s="26"/>
      <c r="B179" s="23" t="str">
        <f>IF(ISBLANK(A179)," ",VLOOKUP(A179,'Product Database'!A:B,2,FALSE))</f>
        <v xml:space="preserve"> </v>
      </c>
      <c r="C179" s="24" t="str">
        <f>IF(ISBLANK(A179),"",SUMIF(Input!A:A,A179,Input!B:B))</f>
        <v/>
      </c>
      <c r="D179" s="25"/>
      <c r="E179" s="22" t="str">
        <f t="shared" si="0"/>
        <v xml:space="preserve"> </v>
      </c>
    </row>
    <row r="180" spans="1:5" ht="12.3">
      <c r="A180" s="26"/>
      <c r="B180" s="23" t="str">
        <f>IF(ISBLANK(A180)," ",VLOOKUP(A180,'Product Database'!A:B,2,FALSE))</f>
        <v xml:space="preserve"> </v>
      </c>
      <c r="C180" s="24" t="str">
        <f>IF(ISBLANK(A180),"",SUMIF(Input!A:A,A180,Input!B:B))</f>
        <v/>
      </c>
      <c r="D180" s="25"/>
      <c r="E180" s="22" t="str">
        <f t="shared" si="0"/>
        <v xml:space="preserve"> </v>
      </c>
    </row>
    <row r="181" spans="1:5" ht="12.3">
      <c r="A181" s="26"/>
      <c r="B181" s="23" t="str">
        <f>IF(ISBLANK(A181)," ",VLOOKUP(A181,'Product Database'!A:B,2,FALSE))</f>
        <v xml:space="preserve"> </v>
      </c>
      <c r="C181" s="24" t="str">
        <f>IF(ISBLANK(A181),"",SUMIF(Input!A:A,A181,Input!B:B))</f>
        <v/>
      </c>
      <c r="D181" s="25"/>
      <c r="E181" s="22" t="str">
        <f t="shared" si="0"/>
        <v xml:space="preserve"> </v>
      </c>
    </row>
    <row r="182" spans="1:5" ht="12.3">
      <c r="A182" s="26"/>
      <c r="B182" s="23" t="str">
        <f>IF(ISBLANK(A182)," ",VLOOKUP(A182,'Product Database'!A:B,2,FALSE))</f>
        <v xml:space="preserve"> </v>
      </c>
      <c r="C182" s="24" t="str">
        <f>IF(ISBLANK(A182),"",SUMIF(Input!A:A,A182,Input!B:B))</f>
        <v/>
      </c>
      <c r="D182" s="25"/>
      <c r="E182" s="22" t="str">
        <f t="shared" si="0"/>
        <v xml:space="preserve"> </v>
      </c>
    </row>
    <row r="183" spans="1:5" ht="12.3">
      <c r="A183" s="26"/>
      <c r="B183" s="23" t="str">
        <f>IF(ISBLANK(A183)," ",VLOOKUP(A183,'Product Database'!A:B,2,FALSE))</f>
        <v xml:space="preserve"> </v>
      </c>
      <c r="C183" s="24" t="str">
        <f>IF(ISBLANK(A183),"",SUMIF(Input!A:A,A183,Input!B:B))</f>
        <v/>
      </c>
      <c r="D183" s="25"/>
      <c r="E183" s="22" t="str">
        <f t="shared" si="0"/>
        <v xml:space="preserve"> </v>
      </c>
    </row>
    <row r="184" spans="1:5" ht="12.3">
      <c r="A184" s="26"/>
      <c r="B184" s="23" t="str">
        <f>IF(ISBLANK(A184)," ",VLOOKUP(A184,'Product Database'!A:B,2,FALSE))</f>
        <v xml:space="preserve"> </v>
      </c>
      <c r="C184" s="24" t="str">
        <f>IF(ISBLANK(A184),"",SUMIF(Input!A:A,A184,Input!B:B))</f>
        <v/>
      </c>
      <c r="D184" s="25"/>
      <c r="E184" s="22" t="str">
        <f t="shared" si="0"/>
        <v xml:space="preserve"> </v>
      </c>
    </row>
    <row r="185" spans="1:5" ht="12.3">
      <c r="A185" s="26"/>
      <c r="B185" s="23" t="str">
        <f>IF(ISBLANK(A185)," ",VLOOKUP(A185,'Product Database'!A:B,2,FALSE))</f>
        <v xml:space="preserve"> </v>
      </c>
      <c r="C185" s="24" t="str">
        <f>IF(ISBLANK(A185),"",SUMIF(Input!A:A,A185,Input!B:B))</f>
        <v/>
      </c>
      <c r="D185" s="25"/>
      <c r="E185" s="22" t="str">
        <f t="shared" si="0"/>
        <v xml:space="preserve"> </v>
      </c>
    </row>
    <row r="186" spans="1:5" ht="12.3">
      <c r="A186" s="26"/>
      <c r="B186" s="23" t="str">
        <f>IF(ISBLANK(A186)," ",VLOOKUP(A186,'Product Database'!A:B,2,FALSE))</f>
        <v xml:space="preserve"> </v>
      </c>
      <c r="C186" s="24" t="str">
        <f>IF(ISBLANK(A186),"",SUMIF(Input!A:A,A186,Input!B:B))</f>
        <v/>
      </c>
      <c r="D186" s="25"/>
      <c r="E186" s="22" t="str">
        <f t="shared" si="0"/>
        <v xml:space="preserve"> </v>
      </c>
    </row>
    <row r="187" spans="1:5" ht="12.3">
      <c r="A187" s="26"/>
      <c r="B187" s="23" t="str">
        <f>IF(ISBLANK(A187)," ",VLOOKUP(A187,'Product Database'!A:B,2,FALSE))</f>
        <v xml:space="preserve"> </v>
      </c>
      <c r="C187" s="24" t="str">
        <f>IF(ISBLANK(A187),"",SUMIF(Input!A:A,A187,Input!B:B))</f>
        <v/>
      </c>
      <c r="D187" s="25"/>
      <c r="E187" s="22" t="str">
        <f t="shared" si="0"/>
        <v xml:space="preserve"> </v>
      </c>
    </row>
    <row r="188" spans="1:5" ht="12.3">
      <c r="A188" s="26"/>
      <c r="B188" s="23" t="str">
        <f>IF(ISBLANK(A188)," ",VLOOKUP(A188,'Product Database'!A:B,2,FALSE))</f>
        <v xml:space="preserve"> </v>
      </c>
      <c r="C188" s="24" t="str">
        <f>IF(ISBLANK(A188),"",SUMIF(Input!A:A,A188,Input!B:B))</f>
        <v/>
      </c>
      <c r="D188" s="25"/>
      <c r="E188" s="22" t="str">
        <f t="shared" si="0"/>
        <v xml:space="preserve"> </v>
      </c>
    </row>
    <row r="189" spans="1:5" ht="12.3">
      <c r="A189" s="26"/>
      <c r="B189" s="23" t="str">
        <f>IF(ISBLANK(A189)," ",VLOOKUP(A189,'Product Database'!A:B,2,FALSE))</f>
        <v xml:space="preserve"> </v>
      </c>
      <c r="C189" s="24" t="str">
        <f>IF(ISBLANK(A189),"",SUMIF(Input!A:A,A189,Input!B:B))</f>
        <v/>
      </c>
      <c r="D189" s="25"/>
      <c r="E189" s="22" t="str">
        <f t="shared" si="0"/>
        <v xml:space="preserve"> </v>
      </c>
    </row>
    <row r="190" spans="1:5" ht="12.3">
      <c r="A190" s="26"/>
      <c r="B190" s="23" t="str">
        <f>IF(ISBLANK(A190)," ",VLOOKUP(A190,'Product Database'!A:B,2,FALSE))</f>
        <v xml:space="preserve"> </v>
      </c>
      <c r="C190" s="24" t="str">
        <f>IF(ISBLANK(A190),"",SUMIF(Input!A:A,A190,Input!B:B))</f>
        <v/>
      </c>
      <c r="D190" s="25"/>
      <c r="E190" s="22" t="str">
        <f t="shared" si="0"/>
        <v xml:space="preserve"> </v>
      </c>
    </row>
    <row r="191" spans="1:5" ht="12.3">
      <c r="A191" s="26"/>
      <c r="B191" s="23" t="str">
        <f>IF(ISBLANK(A191)," ",VLOOKUP(A191,'Product Database'!A:B,2,FALSE))</f>
        <v xml:space="preserve"> </v>
      </c>
      <c r="C191" s="24" t="str">
        <f>IF(ISBLANK(A191),"",SUMIF(Input!A:A,A191,Input!B:B))</f>
        <v/>
      </c>
      <c r="D191" s="25"/>
      <c r="E191" s="22" t="str">
        <f t="shared" si="0"/>
        <v xml:space="preserve"> </v>
      </c>
    </row>
    <row r="192" spans="1:5" ht="12.3">
      <c r="A192" s="26"/>
      <c r="B192" s="23" t="str">
        <f>IF(ISBLANK(A192)," ",VLOOKUP(A192,'Product Database'!A:B,2,FALSE))</f>
        <v xml:space="preserve"> </v>
      </c>
      <c r="C192" s="24" t="str">
        <f>IF(ISBLANK(A192),"",SUMIF(Input!A:A,A192,Input!B:B))</f>
        <v/>
      </c>
      <c r="D192" s="25"/>
      <c r="E192" s="22" t="str">
        <f t="shared" si="0"/>
        <v xml:space="preserve"> </v>
      </c>
    </row>
    <row r="193" spans="1:5" ht="12.3">
      <c r="A193" s="26"/>
      <c r="B193" s="23" t="str">
        <f>IF(ISBLANK(A193)," ",VLOOKUP(A193,'Product Database'!A:B,2,FALSE))</f>
        <v xml:space="preserve"> </v>
      </c>
      <c r="C193" s="24" t="str">
        <f>IF(ISBLANK(A193),"",SUMIF(Input!A:A,A193,Input!B:B))</f>
        <v/>
      </c>
      <c r="D193" s="25"/>
      <c r="E193" s="22" t="str">
        <f t="shared" si="0"/>
        <v xml:space="preserve"> </v>
      </c>
    </row>
    <row r="194" spans="1:5" ht="12.3">
      <c r="A194" s="26"/>
      <c r="B194" s="23" t="str">
        <f>IF(ISBLANK(A194)," ",VLOOKUP(A194,'Product Database'!A:B,2,FALSE))</f>
        <v xml:space="preserve"> </v>
      </c>
      <c r="C194" s="24" t="str">
        <f>IF(ISBLANK(A194),"",SUMIF(Input!A:A,A194,Input!B:B))</f>
        <v/>
      </c>
      <c r="D194" s="25"/>
      <c r="E194" s="22" t="str">
        <f t="shared" si="0"/>
        <v xml:space="preserve"> </v>
      </c>
    </row>
    <row r="195" spans="1:5" ht="12.3">
      <c r="A195" s="26"/>
      <c r="B195" s="23" t="str">
        <f>IF(ISBLANK(A195)," ",VLOOKUP(A195,'Product Database'!A:B,2,FALSE))</f>
        <v xml:space="preserve"> </v>
      </c>
      <c r="C195" s="24" t="str">
        <f>IF(ISBLANK(A195),"",SUMIF(Input!A:A,A195,Input!B:B))</f>
        <v/>
      </c>
      <c r="D195" s="25"/>
      <c r="E195" s="22" t="str">
        <f t="shared" si="0"/>
        <v xml:space="preserve"> </v>
      </c>
    </row>
    <row r="196" spans="1:5" ht="12.3">
      <c r="A196" s="26"/>
      <c r="B196" s="23" t="str">
        <f>IF(ISBLANK(A196)," ",VLOOKUP(A196,'Product Database'!A:B,2,FALSE))</f>
        <v xml:space="preserve"> </v>
      </c>
      <c r="C196" s="24" t="str">
        <f>IF(ISBLANK(A196),"",SUMIF(Input!A:A,A196,Input!B:B))</f>
        <v/>
      </c>
      <c r="D196" s="25"/>
      <c r="E196" s="22" t="str">
        <f t="shared" si="0"/>
        <v xml:space="preserve"> </v>
      </c>
    </row>
    <row r="197" spans="1:5" ht="12.3">
      <c r="A197" s="26"/>
      <c r="B197" s="23" t="str">
        <f>IF(ISBLANK(A197)," ",VLOOKUP(A197,'Product Database'!A:B,2,FALSE))</f>
        <v xml:space="preserve"> </v>
      </c>
      <c r="C197" s="24" t="str">
        <f>IF(ISBLANK(A197),"",SUMIF(Input!A:A,A197,Input!B:B))</f>
        <v/>
      </c>
      <c r="D197" s="25"/>
      <c r="E197" s="22" t="str">
        <f t="shared" si="0"/>
        <v xml:space="preserve"> </v>
      </c>
    </row>
    <row r="198" spans="1:5" ht="12.3">
      <c r="A198" s="26"/>
      <c r="B198" s="23" t="str">
        <f>IF(ISBLANK(A198)," ",VLOOKUP(A198,'Product Database'!A:B,2,FALSE))</f>
        <v xml:space="preserve"> </v>
      </c>
      <c r="C198" s="24" t="str">
        <f>IF(ISBLANK(A198),"",SUMIF(Input!A:A,A198,Input!B:B))</f>
        <v/>
      </c>
      <c r="D198" s="25"/>
      <c r="E198" s="22" t="str">
        <f t="shared" si="0"/>
        <v xml:space="preserve"> </v>
      </c>
    </row>
    <row r="199" spans="1:5" ht="12.3">
      <c r="A199" s="26"/>
      <c r="B199" s="23" t="str">
        <f>IF(ISBLANK(A199)," ",VLOOKUP(A199,'Product Database'!A:B,2,FALSE))</f>
        <v xml:space="preserve"> </v>
      </c>
      <c r="C199" s="24" t="str">
        <f>IF(ISBLANK(A199),"",SUMIF(Input!A:A,A199,Input!B:B))</f>
        <v/>
      </c>
      <c r="D199" s="25"/>
      <c r="E199" s="22" t="str">
        <f t="shared" si="0"/>
        <v xml:space="preserve"> </v>
      </c>
    </row>
    <row r="200" spans="1:5" ht="12.3">
      <c r="A200" s="26"/>
      <c r="B200" s="23" t="str">
        <f>IF(ISBLANK(A200)," ",VLOOKUP(A200,'Product Database'!A:B,2,FALSE))</f>
        <v xml:space="preserve"> </v>
      </c>
      <c r="C200" s="24" t="str">
        <f>IF(ISBLANK(A200),"",SUMIF(Input!A:A,A200,Input!B:B))</f>
        <v/>
      </c>
      <c r="D200" s="25"/>
      <c r="E200" s="22" t="str">
        <f t="shared" si="0"/>
        <v xml:space="preserve"> </v>
      </c>
    </row>
    <row r="201" spans="1:5" ht="12.3">
      <c r="A201" s="26"/>
      <c r="B201" s="23" t="str">
        <f>IF(ISBLANK(A201)," ",VLOOKUP(A201,'Product Database'!A:B,2,FALSE))</f>
        <v xml:space="preserve"> </v>
      </c>
      <c r="C201" s="24" t="str">
        <f>IF(ISBLANK(A201),"",SUMIF(Input!A:A,A201,Input!B:B))</f>
        <v/>
      </c>
      <c r="D201" s="25"/>
      <c r="E201" s="22" t="str">
        <f t="shared" si="0"/>
        <v xml:space="preserve"> </v>
      </c>
    </row>
    <row r="202" spans="1:5" ht="12.3">
      <c r="A202" s="26"/>
      <c r="B202" s="23" t="str">
        <f>IF(ISBLANK(A202)," ",VLOOKUP(A202,'Product Database'!A:B,2,FALSE))</f>
        <v xml:space="preserve"> </v>
      </c>
      <c r="C202" s="24" t="str">
        <f>IF(ISBLANK(A202),"",SUMIF(Input!A:A,A202,Input!B:B))</f>
        <v/>
      </c>
      <c r="D202" s="25"/>
      <c r="E202" s="22" t="str">
        <f t="shared" si="0"/>
        <v xml:space="preserve"> </v>
      </c>
    </row>
    <row r="203" spans="1:5" ht="12.3">
      <c r="A203" s="26"/>
      <c r="B203" s="23" t="str">
        <f>IF(ISBLANK(A203)," ",VLOOKUP(A203,'Product Database'!A:B,2,FALSE))</f>
        <v xml:space="preserve"> </v>
      </c>
      <c r="C203" s="24" t="str">
        <f>IF(ISBLANK(A203),"",SUMIF(Input!A:A,A203,Input!B:B))</f>
        <v/>
      </c>
      <c r="D203" s="25"/>
      <c r="E203" s="22" t="str">
        <f t="shared" si="0"/>
        <v xml:space="preserve"> </v>
      </c>
    </row>
    <row r="204" spans="1:5" ht="12.3">
      <c r="A204" s="26"/>
      <c r="B204" s="23" t="str">
        <f>IF(ISBLANK(A204)," ",VLOOKUP(A204,'Product Database'!A:B,2,FALSE))</f>
        <v xml:space="preserve"> </v>
      </c>
      <c r="C204" s="24" t="str">
        <f>IF(ISBLANK(A204),"",SUMIF(Input!A:A,A204,Input!B:B))</f>
        <v/>
      </c>
      <c r="D204" s="25"/>
      <c r="E204" s="22" t="str">
        <f t="shared" si="0"/>
        <v xml:space="preserve"> </v>
      </c>
    </row>
    <row r="205" spans="1:5" ht="12.3">
      <c r="A205" s="26"/>
      <c r="B205" s="23" t="str">
        <f>IF(ISBLANK(A205)," ",VLOOKUP(A205,'Product Database'!A:B,2,FALSE))</f>
        <v xml:space="preserve"> </v>
      </c>
      <c r="C205" s="24" t="str">
        <f>IF(ISBLANK(A205),"",SUMIF(Input!A:A,A205,Input!B:B))</f>
        <v/>
      </c>
      <c r="D205" s="25"/>
      <c r="E205" s="22" t="str">
        <f t="shared" si="0"/>
        <v xml:space="preserve"> </v>
      </c>
    </row>
    <row r="206" spans="1:5" ht="12.3">
      <c r="A206" s="26"/>
      <c r="B206" s="23" t="str">
        <f>IF(ISBLANK(A206)," ",VLOOKUP(A206,'Product Database'!A:B,2,FALSE))</f>
        <v xml:space="preserve"> </v>
      </c>
      <c r="C206" s="24" t="str">
        <f>IF(ISBLANK(A206),"",SUMIF(Input!A:A,A206,Input!B:B))</f>
        <v/>
      </c>
      <c r="D206" s="25"/>
      <c r="E206" s="22" t="str">
        <f t="shared" si="0"/>
        <v xml:space="preserve"> </v>
      </c>
    </row>
    <row r="207" spans="1:5" ht="12.3">
      <c r="A207" s="26"/>
      <c r="B207" s="23" t="str">
        <f>IF(ISBLANK(A207)," ",VLOOKUP(A207,'Product Database'!A:B,2,FALSE))</f>
        <v xml:space="preserve"> </v>
      </c>
      <c r="C207" s="24" t="str">
        <f>IF(ISBLANK(A207),"",SUMIF(Input!A:A,A207,Input!B:B))</f>
        <v/>
      </c>
      <c r="D207" s="25"/>
      <c r="E207" s="22" t="str">
        <f t="shared" si="0"/>
        <v xml:space="preserve"> </v>
      </c>
    </row>
    <row r="208" spans="1:5" ht="12.3">
      <c r="A208" s="26"/>
      <c r="B208" s="23" t="str">
        <f>IF(ISBLANK(A208)," ",VLOOKUP(A208,'Product Database'!A:B,2,FALSE))</f>
        <v xml:space="preserve"> </v>
      </c>
      <c r="C208" s="24" t="str">
        <f>IF(ISBLANK(A208),"",SUMIF(Input!A:A,A208,Input!B:B))</f>
        <v/>
      </c>
      <c r="D208" s="25"/>
      <c r="E208" s="22" t="str">
        <f t="shared" si="0"/>
        <v xml:space="preserve"> </v>
      </c>
    </row>
    <row r="209" spans="1:5" ht="12.3">
      <c r="A209" s="26"/>
      <c r="B209" s="23" t="str">
        <f>IF(ISBLANK(A209)," ",VLOOKUP(A209,'Product Database'!A:B,2,FALSE))</f>
        <v xml:space="preserve"> </v>
      </c>
      <c r="C209" s="24" t="str">
        <f>IF(ISBLANK(A209),"",SUMIF(Input!A:A,A209,Input!B:B))</f>
        <v/>
      </c>
      <c r="D209" s="25"/>
      <c r="E209" s="22" t="str">
        <f t="shared" si="0"/>
        <v xml:space="preserve"> </v>
      </c>
    </row>
    <row r="210" spans="1:5" ht="12.3">
      <c r="A210" s="26"/>
      <c r="B210" s="23" t="str">
        <f>IF(ISBLANK(A210)," ",VLOOKUP(A210,'Product Database'!A:B,2,FALSE))</f>
        <v xml:space="preserve"> </v>
      </c>
      <c r="C210" s="24" t="str">
        <f>IF(ISBLANK(A210),"",SUMIF(Input!A:A,A210,Input!B:B))</f>
        <v/>
      </c>
      <c r="D210" s="25"/>
      <c r="E210" s="22" t="str">
        <f t="shared" si="0"/>
        <v xml:space="preserve"> </v>
      </c>
    </row>
    <row r="211" spans="1:5" ht="12.3">
      <c r="A211" s="26"/>
      <c r="B211" s="23" t="str">
        <f>IF(ISBLANK(A211)," ",VLOOKUP(A211,'Product Database'!A:B,2,FALSE))</f>
        <v xml:space="preserve"> </v>
      </c>
      <c r="C211" s="24" t="str">
        <f>IF(ISBLANK(A211),"",SUMIF(Input!A:A,A211,Input!B:B))</f>
        <v/>
      </c>
      <c r="D211" s="25"/>
      <c r="E211" s="22" t="str">
        <f t="shared" si="0"/>
        <v xml:space="preserve"> </v>
      </c>
    </row>
    <row r="212" spans="1:5" ht="12.3">
      <c r="A212" s="26"/>
      <c r="B212" s="23" t="str">
        <f>IF(ISBLANK(A212)," ",VLOOKUP(A212,'Product Database'!A:B,2,FALSE))</f>
        <v xml:space="preserve"> </v>
      </c>
      <c r="C212" s="24" t="str">
        <f>IF(ISBLANK(A212),"",SUMIF(Input!A:A,A212,Input!B:B))</f>
        <v/>
      </c>
      <c r="D212" s="25"/>
      <c r="E212" s="22" t="str">
        <f t="shared" si="0"/>
        <v xml:space="preserve"> </v>
      </c>
    </row>
    <row r="213" spans="1:5" ht="12.3">
      <c r="A213" s="26"/>
      <c r="B213" s="23" t="str">
        <f>IF(ISBLANK(A213)," ",VLOOKUP(A213,'Product Database'!A:B,2,FALSE))</f>
        <v xml:space="preserve"> </v>
      </c>
      <c r="C213" s="24" t="str">
        <f>IF(ISBLANK(A213),"",SUMIF(Input!A:A,A213,Input!B:B))</f>
        <v/>
      </c>
      <c r="D213" s="25"/>
      <c r="E213" s="22" t="str">
        <f t="shared" si="0"/>
        <v xml:space="preserve"> </v>
      </c>
    </row>
    <row r="214" spans="1:5" ht="12.3">
      <c r="A214" s="26"/>
      <c r="B214" s="23" t="str">
        <f>IF(ISBLANK(A214)," ",VLOOKUP(A214,'Product Database'!A:B,2,FALSE))</f>
        <v xml:space="preserve"> </v>
      </c>
      <c r="C214" s="24" t="str">
        <f>IF(ISBLANK(A214),"",SUMIF(Input!A:A,A214,Input!B:B))</f>
        <v/>
      </c>
      <c r="D214" s="25"/>
      <c r="E214" s="22" t="str">
        <f t="shared" si="0"/>
        <v xml:space="preserve"> </v>
      </c>
    </row>
    <row r="215" spans="1:5" ht="12.3">
      <c r="A215" s="26"/>
      <c r="B215" s="23" t="str">
        <f>IF(ISBLANK(A215)," ",VLOOKUP(A215,'Product Database'!A:B,2,FALSE))</f>
        <v xml:space="preserve"> </v>
      </c>
      <c r="C215" s="24" t="str">
        <f>IF(ISBLANK(A215),"",SUMIF(Input!A:A,A215,Input!B:B))</f>
        <v/>
      </c>
      <c r="D215" s="25"/>
      <c r="E215" s="22" t="str">
        <f t="shared" si="0"/>
        <v xml:space="preserve"> </v>
      </c>
    </row>
    <row r="216" spans="1:5" ht="12.3">
      <c r="A216" s="26"/>
      <c r="B216" s="23" t="str">
        <f>IF(ISBLANK(A216)," ",VLOOKUP(A216,'Product Database'!A:B,2,FALSE))</f>
        <v xml:space="preserve"> </v>
      </c>
      <c r="C216" s="24" t="str">
        <f>IF(ISBLANK(A216),"",SUMIF(Input!A:A,A216,Input!B:B))</f>
        <v/>
      </c>
      <c r="D216" s="25"/>
      <c r="E216" s="22" t="str">
        <f t="shared" si="0"/>
        <v xml:space="preserve"> </v>
      </c>
    </row>
    <row r="217" spans="1:5" ht="12.3">
      <c r="A217" s="26"/>
      <c r="B217" s="23" t="str">
        <f>IF(ISBLANK(A217)," ",VLOOKUP(A217,'Product Database'!A:B,2,FALSE))</f>
        <v xml:space="preserve"> </v>
      </c>
      <c r="C217" s="24" t="str">
        <f>IF(ISBLANK(A217),"",SUMIF(Input!A:A,A217,Input!B:B))</f>
        <v/>
      </c>
      <c r="D217" s="25"/>
      <c r="E217" s="22" t="str">
        <f t="shared" si="0"/>
        <v xml:space="preserve"> </v>
      </c>
    </row>
    <row r="218" spans="1:5" ht="12.3">
      <c r="A218" s="26"/>
      <c r="B218" s="23" t="str">
        <f>IF(ISBLANK(A218)," ",VLOOKUP(A218,'Product Database'!A:B,2,FALSE))</f>
        <v xml:space="preserve"> </v>
      </c>
      <c r="C218" s="24" t="str">
        <f>IF(ISBLANK(A218),"",SUMIF(Input!A:A,A218,Input!B:B))</f>
        <v/>
      </c>
      <c r="D218" s="25"/>
      <c r="E218" s="22" t="str">
        <f t="shared" si="0"/>
        <v xml:space="preserve"> </v>
      </c>
    </row>
    <row r="219" spans="1:5" ht="12.3">
      <c r="A219" s="26"/>
      <c r="B219" s="23" t="str">
        <f>IF(ISBLANK(A219)," ",VLOOKUP(A219,'Product Database'!A:B,2,FALSE))</f>
        <v xml:space="preserve"> </v>
      </c>
      <c r="C219" s="24" t="str">
        <f>IF(ISBLANK(A219),"",SUMIF(Input!A:A,A219,Input!B:B))</f>
        <v/>
      </c>
      <c r="D219" s="25"/>
      <c r="E219" s="22" t="str">
        <f t="shared" si="0"/>
        <v xml:space="preserve"> </v>
      </c>
    </row>
    <row r="220" spans="1:5" ht="12.3">
      <c r="A220" s="26"/>
      <c r="B220" s="23" t="str">
        <f>IF(ISBLANK(A220)," ",VLOOKUP(A220,'Product Database'!A:B,2,FALSE))</f>
        <v xml:space="preserve"> </v>
      </c>
      <c r="C220" s="24" t="str">
        <f>IF(ISBLANK(A220),"",SUMIF(Input!A:A,A220,Input!B:B))</f>
        <v/>
      </c>
      <c r="D220" s="25"/>
      <c r="E220" s="22" t="str">
        <f t="shared" si="0"/>
        <v xml:space="preserve"> </v>
      </c>
    </row>
    <row r="221" spans="1:5" ht="12.3">
      <c r="A221" s="26"/>
      <c r="B221" s="23" t="str">
        <f>IF(ISBLANK(A221)," ",VLOOKUP(A221,'Product Database'!A:B,2,FALSE))</f>
        <v xml:space="preserve"> </v>
      </c>
      <c r="C221" s="24" t="str">
        <f>IF(ISBLANK(A221),"",SUMIF(Input!A:A,A221,Input!B:B))</f>
        <v/>
      </c>
      <c r="D221" s="25"/>
      <c r="E221" s="22" t="str">
        <f t="shared" si="0"/>
        <v xml:space="preserve"> </v>
      </c>
    </row>
    <row r="222" spans="1:5" ht="12.3">
      <c r="A222" s="26"/>
      <c r="B222" s="23" t="str">
        <f>IF(ISBLANK(A222)," ",VLOOKUP(A222,'Product Database'!A:B,2,FALSE))</f>
        <v xml:space="preserve"> </v>
      </c>
      <c r="C222" s="24" t="str">
        <f>IF(ISBLANK(A222),"",SUMIF(Input!A:A,A222,Input!B:B))</f>
        <v/>
      </c>
      <c r="D222" s="25"/>
      <c r="E222" s="22" t="str">
        <f t="shared" si="0"/>
        <v xml:space="preserve"> </v>
      </c>
    </row>
    <row r="223" spans="1:5" ht="12.3">
      <c r="A223" s="26"/>
      <c r="B223" s="23" t="str">
        <f>IF(ISBLANK(A223)," ",VLOOKUP(A223,'Product Database'!A:B,2,FALSE))</f>
        <v xml:space="preserve"> </v>
      </c>
      <c r="C223" s="24" t="str">
        <f>IF(ISBLANK(A223),"",SUMIF(Input!A:A,A223,Input!B:B))</f>
        <v/>
      </c>
      <c r="D223" s="25"/>
      <c r="E223" s="22" t="str">
        <f t="shared" si="0"/>
        <v xml:space="preserve"> </v>
      </c>
    </row>
    <row r="224" spans="1:5" ht="12.3">
      <c r="A224" s="26"/>
      <c r="B224" s="23" t="str">
        <f>IF(ISBLANK(A224)," ",VLOOKUP(A224,'Product Database'!A:B,2,FALSE))</f>
        <v xml:space="preserve"> </v>
      </c>
      <c r="C224" s="24" t="str">
        <f>IF(ISBLANK(A224),"",SUMIF(Input!A:A,A224,Input!B:B))</f>
        <v/>
      </c>
      <c r="D224" s="25"/>
      <c r="E224" s="22" t="str">
        <f t="shared" si="0"/>
        <v xml:space="preserve"> </v>
      </c>
    </row>
    <row r="225" spans="1:5" ht="12.3">
      <c r="A225" s="26"/>
      <c r="B225" s="23" t="str">
        <f>IF(ISBLANK(A225)," ",VLOOKUP(A225,'Product Database'!A:B,2,FALSE))</f>
        <v xml:space="preserve"> </v>
      </c>
      <c r="C225" s="24" t="str">
        <f>IF(ISBLANK(A225),"",SUMIF(Input!A:A,A225,Input!B:B))</f>
        <v/>
      </c>
      <c r="D225" s="25"/>
      <c r="E225" s="22" t="str">
        <f t="shared" si="0"/>
        <v xml:space="preserve"> </v>
      </c>
    </row>
    <row r="226" spans="1:5" ht="12.3">
      <c r="A226" s="26"/>
      <c r="B226" s="23" t="str">
        <f>IF(ISBLANK(A226)," ",VLOOKUP(A226,'Product Database'!A:B,2,FALSE))</f>
        <v xml:space="preserve"> </v>
      </c>
      <c r="C226" s="24" t="str">
        <f>IF(ISBLANK(A226),"",SUMIF(Input!A:A,A226,Input!B:B))</f>
        <v/>
      </c>
      <c r="D226" s="25"/>
      <c r="E226" s="22" t="str">
        <f t="shared" si="0"/>
        <v xml:space="preserve"> </v>
      </c>
    </row>
    <row r="227" spans="1:5" ht="12.3">
      <c r="A227" s="26"/>
      <c r="B227" s="23" t="str">
        <f>IF(ISBLANK(A227)," ",VLOOKUP(A227,'Product Database'!A:B,2,FALSE))</f>
        <v xml:space="preserve"> </v>
      </c>
      <c r="C227" s="24" t="str">
        <f>IF(ISBLANK(A227),"",SUMIF(Input!A:A,A227,Input!B:B))</f>
        <v/>
      </c>
      <c r="D227" s="25"/>
      <c r="E227" s="22" t="str">
        <f t="shared" si="0"/>
        <v xml:space="preserve"> </v>
      </c>
    </row>
    <row r="228" spans="1:5" ht="12.3">
      <c r="A228" s="26"/>
      <c r="B228" s="23" t="str">
        <f>IF(ISBLANK(A228)," ",VLOOKUP(A228,'Product Database'!A:B,2,FALSE))</f>
        <v xml:space="preserve"> </v>
      </c>
      <c r="C228" s="24" t="str">
        <f>IF(ISBLANK(A228),"",SUMIF(Input!A:A,A228,Input!B:B))</f>
        <v/>
      </c>
      <c r="D228" s="25"/>
      <c r="E228" s="22" t="str">
        <f t="shared" si="0"/>
        <v xml:space="preserve"> </v>
      </c>
    </row>
    <row r="229" spans="1:5" ht="12.3">
      <c r="A229" s="26"/>
      <c r="B229" s="23" t="str">
        <f>IF(ISBLANK(A229)," ",VLOOKUP(A229,'Product Database'!A:B,2,FALSE))</f>
        <v xml:space="preserve"> </v>
      </c>
      <c r="C229" s="24" t="str">
        <f>IF(ISBLANK(A229),"",SUMIF(Input!A:A,A229,Input!B:B))</f>
        <v/>
      </c>
      <c r="D229" s="25"/>
      <c r="E229" s="22" t="str">
        <f t="shared" si="0"/>
        <v xml:space="preserve"> </v>
      </c>
    </row>
    <row r="230" spans="1:5" ht="12.3">
      <c r="A230" s="26"/>
      <c r="B230" s="23" t="str">
        <f>IF(ISBLANK(A230)," ",VLOOKUP(A230,'Product Database'!A:B,2,FALSE))</f>
        <v xml:space="preserve"> </v>
      </c>
      <c r="C230" s="24" t="str">
        <f>IF(ISBLANK(A230),"",SUMIF(Input!A:A,A230,Input!B:B))</f>
        <v/>
      </c>
      <c r="D230" s="25"/>
      <c r="E230" s="22" t="str">
        <f t="shared" si="0"/>
        <v xml:space="preserve"> </v>
      </c>
    </row>
    <row r="231" spans="1:5" ht="12.3">
      <c r="A231" s="26"/>
      <c r="B231" s="23" t="str">
        <f>IF(ISBLANK(A231)," ",VLOOKUP(A231,'Product Database'!A:B,2,FALSE))</f>
        <v xml:space="preserve"> </v>
      </c>
      <c r="C231" s="24" t="str">
        <f>IF(ISBLANK(A231),"",SUMIF(Input!A:A,A231,Input!B:B))</f>
        <v/>
      </c>
      <c r="D231" s="25"/>
      <c r="E231" s="22" t="str">
        <f t="shared" si="0"/>
        <v xml:space="preserve"> </v>
      </c>
    </row>
    <row r="232" spans="1:5" ht="12.3">
      <c r="A232" s="26"/>
      <c r="B232" s="23" t="str">
        <f>IF(ISBLANK(A232)," ",VLOOKUP(A232,'Product Database'!A:B,2,FALSE))</f>
        <v xml:space="preserve"> </v>
      </c>
      <c r="C232" s="24" t="str">
        <f>IF(ISBLANK(A232),"",SUMIF(Input!A:A,A232,Input!B:B))</f>
        <v/>
      </c>
      <c r="D232" s="25"/>
      <c r="E232" s="22" t="str">
        <f t="shared" si="0"/>
        <v xml:space="preserve"> </v>
      </c>
    </row>
    <row r="233" spans="1:5" ht="12.3">
      <c r="A233" s="26"/>
      <c r="B233" s="23" t="str">
        <f>IF(ISBLANK(A233)," ",VLOOKUP(A233,'Product Database'!A:B,2,FALSE))</f>
        <v xml:space="preserve"> </v>
      </c>
      <c r="C233" s="24" t="str">
        <f>IF(ISBLANK(A233),"",SUMIF(Input!A:A,A233,Input!B:B))</f>
        <v/>
      </c>
      <c r="D233" s="25"/>
      <c r="E233" s="22" t="str">
        <f t="shared" si="0"/>
        <v xml:space="preserve"> </v>
      </c>
    </row>
    <row r="234" spans="1:5" ht="12.3">
      <c r="A234" s="26"/>
      <c r="B234" s="23" t="str">
        <f>IF(ISBLANK(A234)," ",VLOOKUP(A234,'Product Database'!A:B,2,FALSE))</f>
        <v xml:space="preserve"> </v>
      </c>
      <c r="C234" s="24" t="str">
        <f>IF(ISBLANK(A234),"",SUMIF(Input!A:A,A234,Input!B:B))</f>
        <v/>
      </c>
      <c r="D234" s="25"/>
      <c r="E234" s="22" t="str">
        <f t="shared" si="0"/>
        <v xml:space="preserve"> </v>
      </c>
    </row>
    <row r="235" spans="1:5" ht="12.3">
      <c r="A235" s="26"/>
      <c r="B235" s="23" t="str">
        <f>IF(ISBLANK(A235)," ",VLOOKUP(A235,'Product Database'!A:B,2,FALSE))</f>
        <v xml:space="preserve"> </v>
      </c>
      <c r="C235" s="24" t="str">
        <f>IF(ISBLANK(A235),"",SUMIF(Input!A:A,A235,Input!B:B))</f>
        <v/>
      </c>
      <c r="D235" s="25"/>
      <c r="E235" s="22" t="str">
        <f t="shared" si="0"/>
        <v xml:space="preserve"> </v>
      </c>
    </row>
    <row r="236" spans="1:5" ht="12.3">
      <c r="A236" s="26"/>
      <c r="B236" s="23" t="str">
        <f>IF(ISBLANK(A236)," ",VLOOKUP(A236,'Product Database'!A:B,2,FALSE))</f>
        <v xml:space="preserve"> </v>
      </c>
      <c r="C236" s="24" t="str">
        <f>IF(ISBLANK(A236),"",SUMIF(Input!A:A,A236,Input!B:B))</f>
        <v/>
      </c>
      <c r="D236" s="25"/>
      <c r="E236" s="22" t="str">
        <f t="shared" si="0"/>
        <v xml:space="preserve"> </v>
      </c>
    </row>
    <row r="237" spans="1:5" ht="12.3">
      <c r="A237" s="26"/>
      <c r="B237" s="23" t="str">
        <f>IF(ISBLANK(A237)," ",VLOOKUP(A237,'Product Database'!A:B,2,FALSE))</f>
        <v xml:space="preserve"> </v>
      </c>
      <c r="C237" s="24" t="str">
        <f>IF(ISBLANK(A237),"",SUMIF(Input!A:A,A237,Input!B:B))</f>
        <v/>
      </c>
      <c r="D237" s="25"/>
      <c r="E237" s="22" t="str">
        <f t="shared" si="0"/>
        <v xml:space="preserve"> </v>
      </c>
    </row>
    <row r="238" spans="1:5" ht="12.3">
      <c r="A238" s="26"/>
      <c r="B238" s="23" t="str">
        <f>IF(ISBLANK(A238)," ",VLOOKUP(A238,'Product Database'!A:B,2,FALSE))</f>
        <v xml:space="preserve"> </v>
      </c>
      <c r="C238" s="24" t="str">
        <f>IF(ISBLANK(A238),"",SUMIF(Input!A:A,A238,Input!B:B))</f>
        <v/>
      </c>
      <c r="D238" s="25"/>
      <c r="E238" s="22" t="str">
        <f t="shared" si="0"/>
        <v xml:space="preserve"> </v>
      </c>
    </row>
    <row r="239" spans="1:5" ht="12.3">
      <c r="A239" s="26"/>
      <c r="B239" s="23" t="str">
        <f>IF(ISBLANK(A239)," ",VLOOKUP(A239,'Product Database'!A:B,2,FALSE))</f>
        <v xml:space="preserve"> </v>
      </c>
      <c r="C239" s="24" t="str">
        <f>IF(ISBLANK(A239),"",SUMIF(Input!A:A,A239,Input!B:B))</f>
        <v/>
      </c>
      <c r="D239" s="25"/>
      <c r="E239" s="22" t="str">
        <f t="shared" si="0"/>
        <v xml:space="preserve"> </v>
      </c>
    </row>
    <row r="240" spans="1:5" ht="12.3">
      <c r="A240" s="26"/>
      <c r="B240" s="23" t="str">
        <f>IF(ISBLANK(A240)," ",VLOOKUP(A240,'Product Database'!A:B,2,FALSE))</f>
        <v xml:space="preserve"> </v>
      </c>
      <c r="C240" s="24" t="str">
        <f>IF(ISBLANK(A240),"",SUMIF(Input!A:A,A240,Input!B:B))</f>
        <v/>
      </c>
      <c r="D240" s="25"/>
      <c r="E240" s="22" t="str">
        <f t="shared" si="0"/>
        <v xml:space="preserve"> </v>
      </c>
    </row>
    <row r="241" spans="1:5" ht="12.3">
      <c r="A241" s="26"/>
      <c r="B241" s="23" t="str">
        <f>IF(ISBLANK(A241)," ",VLOOKUP(A241,'Product Database'!A:B,2,FALSE))</f>
        <v xml:space="preserve"> </v>
      </c>
      <c r="C241" s="24" t="str">
        <f>IF(ISBLANK(A241),"",SUMIF(Input!A:A,A241,Input!B:B))</f>
        <v/>
      </c>
      <c r="D241" s="25"/>
      <c r="E241" s="22" t="str">
        <f t="shared" si="0"/>
        <v xml:space="preserve"> </v>
      </c>
    </row>
    <row r="242" spans="1:5" ht="12.3">
      <c r="A242" s="26"/>
      <c r="B242" s="23" t="str">
        <f>IF(ISBLANK(A242)," ",VLOOKUP(A242,'Product Database'!A:B,2,FALSE))</f>
        <v xml:space="preserve"> </v>
      </c>
      <c r="C242" s="24" t="str">
        <f>IF(ISBLANK(A242),"",SUMIF(Input!A:A,A242,Input!B:B))</f>
        <v/>
      </c>
      <c r="D242" s="25"/>
      <c r="E242" s="22" t="str">
        <f t="shared" si="0"/>
        <v xml:space="preserve"> </v>
      </c>
    </row>
    <row r="243" spans="1:5" ht="12.3">
      <c r="A243" s="26"/>
      <c r="B243" s="23" t="str">
        <f>IF(ISBLANK(A243)," ",VLOOKUP(A243,'Product Database'!A:B,2,FALSE))</f>
        <v xml:space="preserve"> </v>
      </c>
      <c r="C243" s="24" t="str">
        <f>IF(ISBLANK(A243),"",SUMIF(Input!A:A,A243,Input!B:B))</f>
        <v/>
      </c>
      <c r="D243" s="25"/>
      <c r="E243" s="22" t="str">
        <f t="shared" si="0"/>
        <v xml:space="preserve"> </v>
      </c>
    </row>
    <row r="244" spans="1:5" ht="12.3">
      <c r="A244" s="26"/>
      <c r="B244" s="23" t="str">
        <f>IF(ISBLANK(A244)," ",VLOOKUP(A244,'Product Database'!A:B,2,FALSE))</f>
        <v xml:space="preserve"> </v>
      </c>
      <c r="C244" s="24" t="str">
        <f>IF(ISBLANK(A244),"",SUMIF(Input!A:A,A244,Input!B:B))</f>
        <v/>
      </c>
      <c r="D244" s="25"/>
      <c r="E244" s="22" t="str">
        <f t="shared" si="0"/>
        <v xml:space="preserve"> </v>
      </c>
    </row>
    <row r="245" spans="1:5" ht="12.3">
      <c r="A245" s="26"/>
      <c r="B245" s="23" t="str">
        <f>IF(ISBLANK(A245)," ",VLOOKUP(A245,'Product Database'!A:B,2,FALSE))</f>
        <v xml:space="preserve"> </v>
      </c>
      <c r="C245" s="24" t="str">
        <f>IF(ISBLANK(A245),"",SUMIF(Input!A:A,A245,Input!B:B))</f>
        <v/>
      </c>
      <c r="D245" s="25"/>
      <c r="E245" s="22" t="str">
        <f t="shared" si="0"/>
        <v xml:space="preserve"> </v>
      </c>
    </row>
    <row r="246" spans="1:5" ht="12.3">
      <c r="A246" s="26"/>
      <c r="B246" s="23" t="str">
        <f>IF(ISBLANK(A246)," ",VLOOKUP(A246,'Product Database'!A:B,2,FALSE))</f>
        <v xml:space="preserve"> </v>
      </c>
      <c r="C246" s="24" t="str">
        <f>IF(ISBLANK(A246),"",SUMIF(Input!A:A,A246,Input!B:B))</f>
        <v/>
      </c>
      <c r="D246" s="25"/>
      <c r="E246" s="22" t="str">
        <f t="shared" si="0"/>
        <v xml:space="preserve"> </v>
      </c>
    </row>
    <row r="247" spans="1:5" ht="12.3">
      <c r="A247" s="26"/>
      <c r="B247" s="23" t="str">
        <f>IF(ISBLANK(A247)," ",VLOOKUP(A247,'Product Database'!A:B,2,FALSE))</f>
        <v xml:space="preserve"> </v>
      </c>
      <c r="C247" s="24" t="str">
        <f>IF(ISBLANK(A247),"",SUMIF(Input!A:A,A247,Input!B:B))</f>
        <v/>
      </c>
      <c r="D247" s="25"/>
      <c r="E247" s="22" t="str">
        <f t="shared" si="0"/>
        <v xml:space="preserve"> </v>
      </c>
    </row>
    <row r="248" spans="1:5" ht="12.3">
      <c r="A248" s="26"/>
      <c r="B248" s="23" t="str">
        <f>IF(ISBLANK(A248)," ",VLOOKUP(A248,'Product Database'!A:B,2,FALSE))</f>
        <v xml:space="preserve"> </v>
      </c>
      <c r="C248" s="24" t="str">
        <f>IF(ISBLANK(A248),"",SUMIF(Input!A:A,A248,Input!B:B))</f>
        <v/>
      </c>
      <c r="D248" s="25"/>
      <c r="E248" s="22" t="str">
        <f t="shared" si="0"/>
        <v xml:space="preserve"> </v>
      </c>
    </row>
    <row r="249" spans="1:5" ht="12.3">
      <c r="A249" s="26"/>
      <c r="B249" s="23" t="str">
        <f>IF(ISBLANK(A249)," ",VLOOKUP(A249,'Product Database'!A:B,2,FALSE))</f>
        <v xml:space="preserve"> </v>
      </c>
      <c r="C249" s="24" t="str">
        <f>IF(ISBLANK(A249),"",SUMIF(Input!A:A,A249,Input!B:B))</f>
        <v/>
      </c>
      <c r="D249" s="25"/>
      <c r="E249" s="22" t="str">
        <f t="shared" si="0"/>
        <v xml:space="preserve"> </v>
      </c>
    </row>
    <row r="250" spans="1:5" ht="12.3">
      <c r="A250" s="26"/>
      <c r="B250" s="23" t="str">
        <f>IF(ISBLANK(A250)," ",VLOOKUP(A250,'Product Database'!A:B,2,FALSE))</f>
        <v xml:space="preserve"> </v>
      </c>
      <c r="C250" s="24" t="str">
        <f>IF(ISBLANK(A250),"",SUMIF(Input!A:A,A250,Input!B:B))</f>
        <v/>
      </c>
      <c r="D250" s="25"/>
      <c r="E250" s="22" t="str">
        <f t="shared" si="0"/>
        <v xml:space="preserve"> </v>
      </c>
    </row>
    <row r="251" spans="1:5" ht="12.3">
      <c r="A251" s="26"/>
      <c r="B251" s="23" t="str">
        <f>IF(ISBLANK(A251)," ",VLOOKUP(A251,'Product Database'!A:B,2,FALSE))</f>
        <v xml:space="preserve"> </v>
      </c>
      <c r="C251" s="24" t="str">
        <f>IF(ISBLANK(A251),"",SUMIF(Input!A:A,A251,Input!B:B))</f>
        <v/>
      </c>
      <c r="D251" s="25"/>
      <c r="E251" s="22" t="str">
        <f t="shared" si="0"/>
        <v xml:space="preserve"> </v>
      </c>
    </row>
    <row r="252" spans="1:5" ht="12.3">
      <c r="A252" s="26"/>
      <c r="B252" s="23" t="str">
        <f>IF(ISBLANK(A252)," ",VLOOKUP(A252,'Product Database'!A:B,2,FALSE))</f>
        <v xml:space="preserve"> </v>
      </c>
      <c r="C252" s="24" t="str">
        <f>IF(ISBLANK(A252),"",SUMIF(Input!A:A,A252,Input!B:B))</f>
        <v/>
      </c>
      <c r="D252" s="25"/>
      <c r="E252" s="22" t="str">
        <f t="shared" si="0"/>
        <v xml:space="preserve"> </v>
      </c>
    </row>
    <row r="253" spans="1:5" ht="12.3">
      <c r="A253" s="26"/>
      <c r="B253" s="23" t="str">
        <f>IF(ISBLANK(A253)," ",VLOOKUP(A253,'Product Database'!A:B,2,FALSE))</f>
        <v xml:space="preserve"> </v>
      </c>
      <c r="C253" s="24" t="str">
        <f>IF(ISBLANK(A253),"",SUMIF(Input!A:A,A253,Input!B:B))</f>
        <v/>
      </c>
      <c r="D253" s="25"/>
      <c r="E253" s="22" t="str">
        <f t="shared" si="0"/>
        <v xml:space="preserve"> </v>
      </c>
    </row>
    <row r="254" spans="1:5" ht="12.3">
      <c r="A254" s="26"/>
      <c r="B254" s="23" t="str">
        <f>IF(ISBLANK(A254)," ",VLOOKUP(A254,'Product Database'!A:B,2,FALSE))</f>
        <v xml:space="preserve"> </v>
      </c>
      <c r="C254" s="24" t="str">
        <f>IF(ISBLANK(A254),"",SUMIF(Input!A:A,A254,Input!B:B))</f>
        <v/>
      </c>
      <c r="D254" s="25"/>
      <c r="E254" s="22" t="str">
        <f t="shared" si="0"/>
        <v xml:space="preserve"> </v>
      </c>
    </row>
    <row r="255" spans="1:5" ht="12.3">
      <c r="A255" s="26"/>
      <c r="B255" s="23" t="str">
        <f>IF(ISBLANK(A255)," ",VLOOKUP(A255,'Product Database'!A:B,2,FALSE))</f>
        <v xml:space="preserve"> </v>
      </c>
      <c r="C255" s="24" t="str">
        <f>IF(ISBLANK(A255),"",SUMIF(Input!A:A,A255,Input!B:B))</f>
        <v/>
      </c>
      <c r="D255" s="25"/>
      <c r="E255" s="22" t="str">
        <f t="shared" si="0"/>
        <v xml:space="preserve"> </v>
      </c>
    </row>
    <row r="256" spans="1:5" ht="12.3">
      <c r="A256" s="26"/>
      <c r="B256" s="23" t="str">
        <f>IF(ISBLANK(A256)," ",VLOOKUP(A256,'Product Database'!A:B,2,FALSE))</f>
        <v xml:space="preserve"> </v>
      </c>
      <c r="C256" s="24" t="str">
        <f>IF(ISBLANK(A256),"",SUMIF(Input!A:A,A256,Input!B:B))</f>
        <v/>
      </c>
      <c r="D256" s="25"/>
      <c r="E256" s="22" t="str">
        <f t="shared" si="0"/>
        <v xml:space="preserve"> </v>
      </c>
    </row>
    <row r="257" spans="1:5" ht="12.3">
      <c r="A257" s="26"/>
      <c r="B257" s="23" t="str">
        <f>IF(ISBLANK(A257)," ",VLOOKUP(A257,'Product Database'!A:B,2,FALSE))</f>
        <v xml:space="preserve"> </v>
      </c>
      <c r="C257" s="24" t="str">
        <f>IF(ISBLANK(A257),"",SUMIF(Input!A:A,A257,Input!B:B))</f>
        <v/>
      </c>
      <c r="D257" s="25"/>
      <c r="E257" s="22" t="str">
        <f t="shared" si="0"/>
        <v xml:space="preserve"> </v>
      </c>
    </row>
    <row r="258" spans="1:5" ht="12.3">
      <c r="A258" s="26"/>
      <c r="B258" s="23" t="str">
        <f>IF(ISBLANK(A258)," ",VLOOKUP(A258,'Product Database'!A:B,2,FALSE))</f>
        <v xml:space="preserve"> </v>
      </c>
      <c r="C258" s="24" t="str">
        <f>IF(ISBLANK(A258),"",SUMIF(Input!A:A,A258,Input!B:B))</f>
        <v/>
      </c>
      <c r="D258" s="25"/>
      <c r="E258" s="22" t="str">
        <f t="shared" si="0"/>
        <v xml:space="preserve"> </v>
      </c>
    </row>
    <row r="259" spans="1:5" ht="12.3">
      <c r="A259" s="26"/>
      <c r="B259" s="23" t="str">
        <f>IF(ISBLANK(A259)," ",VLOOKUP(A259,'Product Database'!A:B,2,FALSE))</f>
        <v xml:space="preserve"> </v>
      </c>
      <c r="C259" s="24" t="str">
        <f>IF(ISBLANK(A259),"",SUMIF(Input!A:A,A259,Input!B:B))</f>
        <v/>
      </c>
      <c r="D259" s="25"/>
      <c r="E259" s="22" t="str">
        <f t="shared" si="0"/>
        <v xml:space="preserve"> </v>
      </c>
    </row>
    <row r="260" spans="1:5" ht="12.3">
      <c r="A260" s="26"/>
      <c r="B260" s="23" t="str">
        <f>IF(ISBLANK(A260)," ",VLOOKUP(A260,'Product Database'!A:B,2,FALSE))</f>
        <v xml:space="preserve"> </v>
      </c>
      <c r="C260" s="24" t="str">
        <f>IF(ISBLANK(A260),"",SUMIF(Input!A:A,A260,Input!B:B))</f>
        <v/>
      </c>
      <c r="D260" s="25"/>
      <c r="E260" s="22" t="str">
        <f t="shared" si="0"/>
        <v xml:space="preserve"> </v>
      </c>
    </row>
    <row r="261" spans="1:5" ht="12.3">
      <c r="A261" s="26"/>
      <c r="B261" s="23" t="str">
        <f>IF(ISBLANK(A261)," ",VLOOKUP(A261,'Product Database'!A:B,2,FALSE))</f>
        <v xml:space="preserve"> </v>
      </c>
      <c r="C261" s="24" t="str">
        <f>IF(ISBLANK(A261),"",SUMIF(Input!A:A,A261,Input!B:B))</f>
        <v/>
      </c>
      <c r="D261" s="25"/>
      <c r="E261" s="22" t="str">
        <f t="shared" si="0"/>
        <v xml:space="preserve"> </v>
      </c>
    </row>
    <row r="262" spans="1:5" ht="12.3">
      <c r="A262" s="26"/>
      <c r="B262" s="23" t="str">
        <f>IF(ISBLANK(A262)," ",VLOOKUP(A262,'Product Database'!A:B,2,FALSE))</f>
        <v xml:space="preserve"> </v>
      </c>
      <c r="C262" s="24" t="str">
        <f>IF(ISBLANK(A262),"",SUMIF(Input!A:A,A262,Input!B:B))</f>
        <v/>
      </c>
      <c r="D262" s="25"/>
      <c r="E262" s="22" t="str">
        <f t="shared" ref="E262:E516" si="1">IF(ISBLANK(A262)," ",C262*D262)</f>
        <v xml:space="preserve"> </v>
      </c>
    </row>
    <row r="263" spans="1:5" ht="12.3">
      <c r="A263" s="26"/>
      <c r="B263" s="23" t="str">
        <f>IF(ISBLANK(A263)," ",VLOOKUP(A263,'Product Database'!A:B,2,FALSE))</f>
        <v xml:space="preserve"> </v>
      </c>
      <c r="C263" s="24" t="str">
        <f>IF(ISBLANK(A263),"",SUMIF(Input!A:A,A263,Input!B:B))</f>
        <v/>
      </c>
      <c r="D263" s="25"/>
      <c r="E263" s="22" t="str">
        <f t="shared" si="1"/>
        <v xml:space="preserve"> </v>
      </c>
    </row>
    <row r="264" spans="1:5" ht="12.3">
      <c r="A264" s="26"/>
      <c r="B264" s="23" t="str">
        <f>IF(ISBLANK(A264)," ",VLOOKUP(A264,'Product Database'!A:B,2,FALSE))</f>
        <v xml:space="preserve"> </v>
      </c>
      <c r="C264" s="24" t="str">
        <f>IF(ISBLANK(A264),"",SUMIF(Input!A:A,A264,Input!B:B))</f>
        <v/>
      </c>
      <c r="D264" s="25"/>
      <c r="E264" s="22" t="str">
        <f t="shared" si="1"/>
        <v xml:space="preserve"> </v>
      </c>
    </row>
    <row r="265" spans="1:5" ht="12.3">
      <c r="A265" s="26"/>
      <c r="B265" s="23" t="str">
        <f>IF(ISBLANK(A265)," ",VLOOKUP(A265,'Product Database'!A:B,2,FALSE))</f>
        <v xml:space="preserve"> </v>
      </c>
      <c r="C265" s="24" t="str">
        <f>IF(ISBLANK(A265),"",SUMIF(Input!A:A,A265,Input!B:B))</f>
        <v/>
      </c>
      <c r="D265" s="25"/>
      <c r="E265" s="22" t="str">
        <f t="shared" si="1"/>
        <v xml:space="preserve"> </v>
      </c>
    </row>
    <row r="266" spans="1:5" ht="12.3">
      <c r="A266" s="26"/>
      <c r="B266" s="23" t="str">
        <f>IF(ISBLANK(A266)," ",VLOOKUP(A266,'Product Database'!A:B,2,FALSE))</f>
        <v xml:space="preserve"> </v>
      </c>
      <c r="C266" s="24" t="str">
        <f>IF(ISBLANK(A266),"",SUMIF(Input!A:A,A266,Input!B:B))</f>
        <v/>
      </c>
      <c r="D266" s="25"/>
      <c r="E266" s="22" t="str">
        <f t="shared" si="1"/>
        <v xml:space="preserve"> </v>
      </c>
    </row>
    <row r="267" spans="1:5" ht="12.3">
      <c r="A267" s="26"/>
      <c r="B267" s="23" t="str">
        <f>IF(ISBLANK(A267)," ",VLOOKUP(A267,'Product Database'!A:B,2,FALSE))</f>
        <v xml:space="preserve"> </v>
      </c>
      <c r="C267" s="24" t="str">
        <f>IF(ISBLANK(A267),"",SUMIF(Input!A:A,A267,Input!B:B))</f>
        <v/>
      </c>
      <c r="D267" s="25"/>
      <c r="E267" s="22" t="str">
        <f t="shared" si="1"/>
        <v xml:space="preserve"> </v>
      </c>
    </row>
    <row r="268" spans="1:5" ht="12.3">
      <c r="A268" s="26"/>
      <c r="B268" s="23" t="str">
        <f>IF(ISBLANK(A268)," ",VLOOKUP(A268,'Product Database'!A:B,2,FALSE))</f>
        <v xml:space="preserve"> </v>
      </c>
      <c r="C268" s="24" t="str">
        <f>IF(ISBLANK(A268),"",SUMIF(Input!A:A,A268,Input!B:B))</f>
        <v/>
      </c>
      <c r="D268" s="25"/>
      <c r="E268" s="22" t="str">
        <f t="shared" si="1"/>
        <v xml:space="preserve"> </v>
      </c>
    </row>
    <row r="269" spans="1:5" ht="12.3">
      <c r="A269" s="26"/>
      <c r="B269" s="23" t="str">
        <f>IF(ISBLANK(A269)," ",VLOOKUP(A269,'Product Database'!A:B,2,FALSE))</f>
        <v xml:space="preserve"> </v>
      </c>
      <c r="C269" s="24" t="str">
        <f>IF(ISBLANK(A269),"",SUMIF(Input!A:A,A269,Input!B:B))</f>
        <v/>
      </c>
      <c r="D269" s="25"/>
      <c r="E269" s="22" t="str">
        <f t="shared" si="1"/>
        <v xml:space="preserve"> </v>
      </c>
    </row>
    <row r="270" spans="1:5" ht="12.3">
      <c r="A270" s="26"/>
      <c r="B270" s="23" t="str">
        <f>IF(ISBLANK(A270)," ",VLOOKUP(A270,'Product Database'!A:B,2,FALSE))</f>
        <v xml:space="preserve"> </v>
      </c>
      <c r="C270" s="24" t="str">
        <f>IF(ISBLANK(A270),"",SUMIF(Input!A:A,A270,Input!B:B))</f>
        <v/>
      </c>
      <c r="D270" s="25"/>
      <c r="E270" s="22" t="str">
        <f t="shared" si="1"/>
        <v xml:space="preserve"> </v>
      </c>
    </row>
    <row r="271" spans="1:5" ht="12.3">
      <c r="A271" s="26"/>
      <c r="B271" s="23" t="str">
        <f>IF(ISBLANK(A271)," ",VLOOKUP(A271,'Product Database'!A:B,2,FALSE))</f>
        <v xml:space="preserve"> </v>
      </c>
      <c r="C271" s="24" t="str">
        <f>IF(ISBLANK(A271),"",SUMIF(Input!A:A,A271,Input!B:B))</f>
        <v/>
      </c>
      <c r="D271" s="25"/>
      <c r="E271" s="22" t="str">
        <f t="shared" si="1"/>
        <v xml:space="preserve"> </v>
      </c>
    </row>
    <row r="272" spans="1:5" ht="12.3">
      <c r="A272" s="26"/>
      <c r="B272" s="23" t="str">
        <f>IF(ISBLANK(A272)," ",VLOOKUP(A272,'Product Database'!A:B,2,FALSE))</f>
        <v xml:space="preserve"> </v>
      </c>
      <c r="C272" s="24" t="str">
        <f>IF(ISBLANK(A272),"",SUMIF(Input!A:A,A272,Input!B:B))</f>
        <v/>
      </c>
      <c r="D272" s="25"/>
      <c r="E272" s="22" t="str">
        <f t="shared" si="1"/>
        <v xml:space="preserve"> </v>
      </c>
    </row>
    <row r="273" spans="1:5" ht="12.3">
      <c r="A273" s="26"/>
      <c r="B273" s="23" t="str">
        <f>IF(ISBLANK(A273)," ",VLOOKUP(A273,'Product Database'!A:B,2,FALSE))</f>
        <v xml:space="preserve"> </v>
      </c>
      <c r="C273" s="24" t="str">
        <f>IF(ISBLANK(A273),"",SUMIF(Input!A:A,A273,Input!B:B))</f>
        <v/>
      </c>
      <c r="D273" s="25"/>
      <c r="E273" s="22" t="str">
        <f t="shared" si="1"/>
        <v xml:space="preserve"> </v>
      </c>
    </row>
    <row r="274" spans="1:5" ht="12.3">
      <c r="A274" s="26"/>
      <c r="B274" s="23" t="str">
        <f>IF(ISBLANK(A274)," ",VLOOKUP(A274,'Product Database'!A:B,2,FALSE))</f>
        <v xml:space="preserve"> </v>
      </c>
      <c r="C274" s="24" t="str">
        <f>IF(ISBLANK(A274),"",SUMIF(Input!A:A,A274,Input!B:B))</f>
        <v/>
      </c>
      <c r="D274" s="25"/>
      <c r="E274" s="22" t="str">
        <f t="shared" si="1"/>
        <v xml:space="preserve"> </v>
      </c>
    </row>
    <row r="275" spans="1:5" ht="12.3">
      <c r="A275" s="26"/>
      <c r="B275" s="23" t="str">
        <f>IF(ISBLANK(A275)," ",VLOOKUP(A275,'Product Database'!A:B,2,FALSE))</f>
        <v xml:space="preserve"> </v>
      </c>
      <c r="C275" s="24" t="str">
        <f>IF(ISBLANK(A275),"",SUMIF(Input!A:A,A275,Input!B:B))</f>
        <v/>
      </c>
      <c r="D275" s="25"/>
      <c r="E275" s="22" t="str">
        <f t="shared" si="1"/>
        <v xml:space="preserve"> </v>
      </c>
    </row>
    <row r="276" spans="1:5" ht="12.3">
      <c r="A276" s="26"/>
      <c r="B276" s="23" t="str">
        <f>IF(ISBLANK(A276)," ",VLOOKUP(A276,'Product Database'!A:B,2,FALSE))</f>
        <v xml:space="preserve"> </v>
      </c>
      <c r="C276" s="24" t="str">
        <f>IF(ISBLANK(A276),"",SUMIF(Input!A:A,A276,Input!B:B))</f>
        <v/>
      </c>
      <c r="D276" s="25"/>
      <c r="E276" s="22" t="str">
        <f t="shared" si="1"/>
        <v xml:space="preserve"> </v>
      </c>
    </row>
    <row r="277" spans="1:5" ht="12.3">
      <c r="A277" s="26"/>
      <c r="B277" s="23" t="str">
        <f>IF(ISBLANK(A277)," ",VLOOKUP(A277,'Product Database'!A:B,2,FALSE))</f>
        <v xml:space="preserve"> </v>
      </c>
      <c r="C277" s="24" t="str">
        <f>IF(ISBLANK(A277),"",SUMIF(Input!A:A,A277,Input!B:B))</f>
        <v/>
      </c>
      <c r="D277" s="25"/>
      <c r="E277" s="22" t="str">
        <f t="shared" si="1"/>
        <v xml:space="preserve"> </v>
      </c>
    </row>
    <row r="278" spans="1:5" ht="12.3">
      <c r="A278" s="26"/>
      <c r="B278" s="23" t="str">
        <f>IF(ISBLANK(A278)," ",VLOOKUP(A278,'Product Database'!A:B,2,FALSE))</f>
        <v xml:space="preserve"> </v>
      </c>
      <c r="C278" s="24" t="str">
        <f>IF(ISBLANK(A278),"",SUMIF(Input!A:A,A278,Input!B:B))</f>
        <v/>
      </c>
      <c r="D278" s="25"/>
      <c r="E278" s="22" t="str">
        <f t="shared" si="1"/>
        <v xml:space="preserve"> </v>
      </c>
    </row>
    <row r="279" spans="1:5" ht="12.3">
      <c r="A279" s="26"/>
      <c r="B279" s="23" t="str">
        <f>IF(ISBLANK(A279)," ",VLOOKUP(A279,'Product Database'!A:B,2,FALSE))</f>
        <v xml:space="preserve"> </v>
      </c>
      <c r="C279" s="24" t="str">
        <f>IF(ISBLANK(A279),"",SUMIF(Input!A:A,A279,Input!B:B))</f>
        <v/>
      </c>
      <c r="D279" s="25"/>
      <c r="E279" s="22" t="str">
        <f t="shared" si="1"/>
        <v xml:space="preserve"> </v>
      </c>
    </row>
    <row r="280" spans="1:5" ht="12.3">
      <c r="A280" s="26"/>
      <c r="B280" s="23" t="str">
        <f>IF(ISBLANK(A280)," ",VLOOKUP(A280,'Product Database'!A:B,2,FALSE))</f>
        <v xml:space="preserve"> </v>
      </c>
      <c r="C280" s="24" t="str">
        <f>IF(ISBLANK(A280),"",SUMIF(Input!A:A,A280,Input!B:B))</f>
        <v/>
      </c>
      <c r="D280" s="25"/>
      <c r="E280" s="22" t="str">
        <f t="shared" si="1"/>
        <v xml:space="preserve"> </v>
      </c>
    </row>
    <row r="281" spans="1:5" ht="12.3">
      <c r="A281" s="26"/>
      <c r="B281" s="23" t="str">
        <f>IF(ISBLANK(A281)," ",VLOOKUP(A281,'Product Database'!A:B,2,FALSE))</f>
        <v xml:space="preserve"> </v>
      </c>
      <c r="C281" s="24" t="str">
        <f>IF(ISBLANK(A281),"",SUMIF(Input!A:A,A281,Input!B:B))</f>
        <v/>
      </c>
      <c r="D281" s="25"/>
      <c r="E281" s="22" t="str">
        <f t="shared" si="1"/>
        <v xml:space="preserve"> </v>
      </c>
    </row>
    <row r="282" spans="1:5" ht="12.3">
      <c r="A282" s="26"/>
      <c r="B282" s="23" t="str">
        <f>IF(ISBLANK(A282)," ",VLOOKUP(A282,'Product Database'!A:B,2,FALSE))</f>
        <v xml:space="preserve"> </v>
      </c>
      <c r="C282" s="24" t="str">
        <f>IF(ISBLANK(A282),"",SUMIF(Input!A:A,A282,Input!B:B))</f>
        <v/>
      </c>
      <c r="D282" s="25"/>
      <c r="E282" s="22" t="str">
        <f t="shared" si="1"/>
        <v xml:space="preserve"> </v>
      </c>
    </row>
    <row r="283" spans="1:5" ht="12.3">
      <c r="A283" s="26"/>
      <c r="B283" s="23" t="str">
        <f>IF(ISBLANK(A283)," ",VLOOKUP(A283,'Product Database'!A:B,2,FALSE))</f>
        <v xml:space="preserve"> </v>
      </c>
      <c r="C283" s="24" t="str">
        <f>IF(ISBLANK(A283),"",SUMIF(Input!A:A,A283,Input!B:B))</f>
        <v/>
      </c>
      <c r="D283" s="25"/>
      <c r="E283" s="22" t="str">
        <f t="shared" si="1"/>
        <v xml:space="preserve"> </v>
      </c>
    </row>
    <row r="284" spans="1:5" ht="12.3">
      <c r="A284" s="26"/>
      <c r="B284" s="23" t="str">
        <f>IF(ISBLANK(A284)," ",VLOOKUP(A284,'Product Database'!A:B,2,FALSE))</f>
        <v xml:space="preserve"> </v>
      </c>
      <c r="C284" s="24" t="str">
        <f>IF(ISBLANK(A284),"",SUMIF(Input!A:A,A284,Input!B:B))</f>
        <v/>
      </c>
      <c r="D284" s="25"/>
      <c r="E284" s="22" t="str">
        <f t="shared" si="1"/>
        <v xml:space="preserve"> </v>
      </c>
    </row>
    <row r="285" spans="1:5" ht="12.3">
      <c r="A285" s="26"/>
      <c r="B285" s="23" t="str">
        <f>IF(ISBLANK(A285)," ",VLOOKUP(A285,'Product Database'!A:B,2,FALSE))</f>
        <v xml:space="preserve"> </v>
      </c>
      <c r="C285" s="24" t="str">
        <f>IF(ISBLANK(A285),"",SUMIF(Input!A:A,A285,Input!B:B))</f>
        <v/>
      </c>
      <c r="D285" s="25"/>
      <c r="E285" s="22" t="str">
        <f t="shared" si="1"/>
        <v xml:space="preserve"> </v>
      </c>
    </row>
    <row r="286" spans="1:5" ht="12.3">
      <c r="A286" s="26"/>
      <c r="B286" s="23" t="str">
        <f>IF(ISBLANK(A286)," ",VLOOKUP(A286,'Product Database'!A:B,2,FALSE))</f>
        <v xml:space="preserve"> </v>
      </c>
      <c r="C286" s="24" t="str">
        <f>IF(ISBLANK(A286),"",SUMIF(Input!A:A,A286,Input!B:B))</f>
        <v/>
      </c>
      <c r="D286" s="25"/>
      <c r="E286" s="22" t="str">
        <f t="shared" si="1"/>
        <v xml:space="preserve"> </v>
      </c>
    </row>
    <row r="287" spans="1:5" ht="12.3">
      <c r="A287" s="26"/>
      <c r="B287" s="23" t="str">
        <f>IF(ISBLANK(A287)," ",VLOOKUP(A287,'Product Database'!A:B,2,FALSE))</f>
        <v xml:space="preserve"> </v>
      </c>
      <c r="C287" s="24" t="str">
        <f>IF(ISBLANK(A287),"",SUMIF(Input!A:A,A287,Input!B:B))</f>
        <v/>
      </c>
      <c r="D287" s="25"/>
      <c r="E287" s="22" t="str">
        <f t="shared" si="1"/>
        <v xml:space="preserve"> </v>
      </c>
    </row>
    <row r="288" spans="1:5" ht="12.3">
      <c r="A288" s="26"/>
      <c r="B288" s="23" t="str">
        <f>IF(ISBLANK(A288)," ",VLOOKUP(A288,'Product Database'!A:B,2,FALSE))</f>
        <v xml:space="preserve"> </v>
      </c>
      <c r="C288" s="24" t="str">
        <f>IF(ISBLANK(A288),"",SUMIF(Input!A:A,A288,Input!B:B))</f>
        <v/>
      </c>
      <c r="D288" s="25"/>
      <c r="E288" s="22" t="str">
        <f t="shared" si="1"/>
        <v xml:space="preserve"> </v>
      </c>
    </row>
    <row r="289" spans="1:5" ht="12.3">
      <c r="A289" s="26"/>
      <c r="B289" s="23" t="str">
        <f>IF(ISBLANK(A289)," ",VLOOKUP(A289,'Product Database'!A:B,2,FALSE))</f>
        <v xml:space="preserve"> </v>
      </c>
      <c r="C289" s="24" t="str">
        <f>IF(ISBLANK(A289),"",SUMIF(Input!A:A,A289,Input!B:B))</f>
        <v/>
      </c>
      <c r="D289" s="25"/>
      <c r="E289" s="22" t="str">
        <f t="shared" si="1"/>
        <v xml:space="preserve"> </v>
      </c>
    </row>
    <row r="290" spans="1:5" ht="12.3">
      <c r="A290" s="26"/>
      <c r="B290" s="23" t="str">
        <f>IF(ISBLANK(A290)," ",VLOOKUP(A290,'Product Database'!A:B,2,FALSE))</f>
        <v xml:space="preserve"> </v>
      </c>
      <c r="C290" s="24" t="str">
        <f>IF(ISBLANK(A290),"",SUMIF(Input!A:A,A290,Input!B:B))</f>
        <v/>
      </c>
      <c r="D290" s="25"/>
      <c r="E290" s="22" t="str">
        <f t="shared" si="1"/>
        <v xml:space="preserve"> </v>
      </c>
    </row>
    <row r="291" spans="1:5" ht="12.3">
      <c r="A291" s="26"/>
      <c r="B291" s="23" t="str">
        <f>IF(ISBLANK(A291)," ",VLOOKUP(A291,'Product Database'!A:B,2,FALSE))</f>
        <v xml:space="preserve"> </v>
      </c>
      <c r="C291" s="24" t="str">
        <f>IF(ISBLANK(A291),"",SUMIF(Input!A:A,A291,Input!B:B))</f>
        <v/>
      </c>
      <c r="D291" s="25"/>
      <c r="E291" s="22" t="str">
        <f t="shared" si="1"/>
        <v xml:space="preserve"> </v>
      </c>
    </row>
    <row r="292" spans="1:5" ht="12.3">
      <c r="A292" s="26"/>
      <c r="B292" s="23" t="str">
        <f>IF(ISBLANK(A292)," ",VLOOKUP(A292,'Product Database'!A:B,2,FALSE))</f>
        <v xml:space="preserve"> </v>
      </c>
      <c r="C292" s="24" t="str">
        <f>IF(ISBLANK(A292),"",SUMIF(Input!A:A,A292,Input!B:B))</f>
        <v/>
      </c>
      <c r="D292" s="25"/>
      <c r="E292" s="22" t="str">
        <f t="shared" si="1"/>
        <v xml:space="preserve"> </v>
      </c>
    </row>
    <row r="293" spans="1:5" ht="12.3">
      <c r="A293" s="26"/>
      <c r="B293" s="23" t="str">
        <f>IF(ISBLANK(A293)," ",VLOOKUP(A293,'Product Database'!A:B,2,FALSE))</f>
        <v xml:space="preserve"> </v>
      </c>
      <c r="C293" s="24" t="str">
        <f>IF(ISBLANK(A293),"",SUMIF(Input!A:A,A293,Input!B:B))</f>
        <v/>
      </c>
      <c r="D293" s="25"/>
      <c r="E293" s="22" t="str">
        <f t="shared" si="1"/>
        <v xml:space="preserve"> </v>
      </c>
    </row>
    <row r="294" spans="1:5" ht="12.3">
      <c r="A294" s="26"/>
      <c r="B294" s="23" t="str">
        <f>IF(ISBLANK(A294)," ",VLOOKUP(A294,'Product Database'!A:B,2,FALSE))</f>
        <v xml:space="preserve"> </v>
      </c>
      <c r="C294" s="24" t="str">
        <f>IF(ISBLANK(A294),"",SUMIF(Input!A:A,A294,Input!B:B))</f>
        <v/>
      </c>
      <c r="D294" s="25"/>
      <c r="E294" s="22" t="str">
        <f t="shared" si="1"/>
        <v xml:space="preserve"> </v>
      </c>
    </row>
    <row r="295" spans="1:5" ht="12.3">
      <c r="A295" s="26"/>
      <c r="B295" s="23" t="str">
        <f>IF(ISBLANK(A295)," ",VLOOKUP(A295,'Product Database'!A:B,2,FALSE))</f>
        <v xml:space="preserve"> </v>
      </c>
      <c r="C295" s="24" t="str">
        <f>IF(ISBLANK(A295),"",SUMIF(Input!A:A,A295,Input!B:B))</f>
        <v/>
      </c>
      <c r="D295" s="25"/>
      <c r="E295" s="22" t="str">
        <f t="shared" si="1"/>
        <v xml:space="preserve"> </v>
      </c>
    </row>
    <row r="296" spans="1:5" ht="12.3">
      <c r="A296" s="26"/>
      <c r="B296" s="23" t="str">
        <f>IF(ISBLANK(A296)," ",VLOOKUP(A296,'Product Database'!A:B,2,FALSE))</f>
        <v xml:space="preserve"> </v>
      </c>
      <c r="C296" s="24" t="str">
        <f>IF(ISBLANK(A296),"",SUMIF(Input!A:A,A296,Input!B:B))</f>
        <v/>
      </c>
      <c r="D296" s="25"/>
      <c r="E296" s="22" t="str">
        <f t="shared" si="1"/>
        <v xml:space="preserve"> </v>
      </c>
    </row>
    <row r="297" spans="1:5" ht="12.3">
      <c r="A297" s="26"/>
      <c r="B297" s="23" t="str">
        <f>IF(ISBLANK(A297)," ",VLOOKUP(A297,'Product Database'!A:B,2,FALSE))</f>
        <v xml:space="preserve"> </v>
      </c>
      <c r="C297" s="24" t="str">
        <f>IF(ISBLANK(A297),"",SUMIF(Input!A:A,A297,Input!B:B))</f>
        <v/>
      </c>
      <c r="D297" s="25"/>
      <c r="E297" s="22" t="str">
        <f t="shared" si="1"/>
        <v xml:space="preserve"> </v>
      </c>
    </row>
    <row r="298" spans="1:5" ht="12.3">
      <c r="A298" s="26"/>
      <c r="B298" s="23" t="str">
        <f>IF(ISBLANK(A298)," ",VLOOKUP(A298,'Product Database'!A:B,2,FALSE))</f>
        <v xml:space="preserve"> </v>
      </c>
      <c r="C298" s="24" t="str">
        <f>IF(ISBLANK(A298),"",SUMIF(Input!A:A,A298,Input!B:B))</f>
        <v/>
      </c>
      <c r="D298" s="25"/>
      <c r="E298" s="22" t="str">
        <f t="shared" si="1"/>
        <v xml:space="preserve"> </v>
      </c>
    </row>
    <row r="299" spans="1:5" ht="12.3">
      <c r="A299" s="26"/>
      <c r="B299" s="23" t="str">
        <f>IF(ISBLANK(A299)," ",VLOOKUP(A299,'Product Database'!A:B,2,FALSE))</f>
        <v xml:space="preserve"> </v>
      </c>
      <c r="C299" s="24" t="str">
        <f>IF(ISBLANK(A299),"",SUMIF(Input!A:A,A299,Input!B:B))</f>
        <v/>
      </c>
      <c r="D299" s="25"/>
      <c r="E299" s="22" t="str">
        <f t="shared" si="1"/>
        <v xml:space="preserve"> </v>
      </c>
    </row>
    <row r="300" spans="1:5" ht="12.3">
      <c r="A300" s="26"/>
      <c r="B300" s="23" t="str">
        <f>IF(ISBLANK(A300)," ",VLOOKUP(A300,'Product Database'!A:B,2,FALSE))</f>
        <v xml:space="preserve"> </v>
      </c>
      <c r="C300" s="24" t="str">
        <f>IF(ISBLANK(A300),"",SUMIF(Input!A:A,A300,Input!B:B))</f>
        <v/>
      </c>
      <c r="D300" s="25"/>
      <c r="E300" s="22" t="str">
        <f t="shared" si="1"/>
        <v xml:space="preserve"> </v>
      </c>
    </row>
    <row r="301" spans="1:5" ht="12.3">
      <c r="A301" s="26"/>
      <c r="B301" s="23" t="str">
        <f>IF(ISBLANK(A301)," ",VLOOKUP(A301,'Product Database'!A:B,2,FALSE))</f>
        <v xml:space="preserve"> </v>
      </c>
      <c r="C301" s="24" t="str">
        <f>IF(ISBLANK(A301),"",SUMIF(Input!A:A,A301,Input!B:B))</f>
        <v/>
      </c>
      <c r="D301" s="25"/>
      <c r="E301" s="22" t="str">
        <f t="shared" si="1"/>
        <v xml:space="preserve"> </v>
      </c>
    </row>
    <row r="302" spans="1:5" ht="12.3">
      <c r="A302" s="26"/>
      <c r="B302" s="23" t="str">
        <f>IF(ISBLANK(A302)," ",VLOOKUP(A302,'Product Database'!A:B,2,FALSE))</f>
        <v xml:space="preserve"> </v>
      </c>
      <c r="C302" s="24" t="str">
        <f>IF(ISBLANK(A302),"",SUMIF(Input!A:A,A302,Input!B:B))</f>
        <v/>
      </c>
      <c r="D302" s="25"/>
      <c r="E302" s="22" t="str">
        <f t="shared" si="1"/>
        <v xml:space="preserve"> </v>
      </c>
    </row>
    <row r="303" spans="1:5" ht="12.3">
      <c r="A303" s="26"/>
      <c r="B303" s="23" t="str">
        <f>IF(ISBLANK(A303)," ",VLOOKUP(A303,'Product Database'!A:B,2,FALSE))</f>
        <v xml:space="preserve"> </v>
      </c>
      <c r="C303" s="24" t="str">
        <f>IF(ISBLANK(A303),"",SUMIF(Input!A:A,A303,Input!B:B))</f>
        <v/>
      </c>
      <c r="D303" s="25"/>
      <c r="E303" s="22" t="str">
        <f t="shared" si="1"/>
        <v xml:space="preserve"> </v>
      </c>
    </row>
    <row r="304" spans="1:5" ht="12.3">
      <c r="A304" s="26"/>
      <c r="B304" s="23" t="str">
        <f>IF(ISBLANK(A304)," ",VLOOKUP(A304,'Product Database'!A:B,2,FALSE))</f>
        <v xml:space="preserve"> </v>
      </c>
      <c r="C304" s="24" t="str">
        <f>IF(ISBLANK(A304),"",SUMIF(Input!A:A,A304,Input!B:B))</f>
        <v/>
      </c>
      <c r="D304" s="25"/>
      <c r="E304" s="22" t="str">
        <f t="shared" si="1"/>
        <v xml:space="preserve"> </v>
      </c>
    </row>
    <row r="305" spans="1:5" ht="12.3">
      <c r="A305" s="26"/>
      <c r="B305" s="23" t="str">
        <f>IF(ISBLANK(A305)," ",VLOOKUP(A305,'Product Database'!A:B,2,FALSE))</f>
        <v xml:space="preserve"> </v>
      </c>
      <c r="C305" s="24" t="str">
        <f>IF(ISBLANK(A305),"",SUMIF(Input!A:A,A305,Input!B:B))</f>
        <v/>
      </c>
      <c r="D305" s="25"/>
      <c r="E305" s="22" t="str">
        <f t="shared" si="1"/>
        <v xml:space="preserve"> </v>
      </c>
    </row>
    <row r="306" spans="1:5" ht="12.3">
      <c r="A306" s="26"/>
      <c r="B306" s="23" t="str">
        <f>IF(ISBLANK(A306)," ",VLOOKUP(A306,'Product Database'!A:B,2,FALSE))</f>
        <v xml:space="preserve"> </v>
      </c>
      <c r="C306" s="24" t="str">
        <f>IF(ISBLANK(A306),"",SUMIF(Input!A:A,A306,Input!B:B))</f>
        <v/>
      </c>
      <c r="D306" s="25"/>
      <c r="E306" s="22" t="str">
        <f t="shared" si="1"/>
        <v xml:space="preserve"> </v>
      </c>
    </row>
    <row r="307" spans="1:5" ht="12.3">
      <c r="A307" s="26"/>
      <c r="B307" s="23" t="str">
        <f>IF(ISBLANK(A307)," ",VLOOKUP(A307,'Product Database'!A:B,2,FALSE))</f>
        <v xml:space="preserve"> </v>
      </c>
      <c r="C307" s="24" t="str">
        <f>IF(ISBLANK(A307),"",SUMIF(Input!A:A,A307,Input!B:B))</f>
        <v/>
      </c>
      <c r="D307" s="25"/>
      <c r="E307" s="22" t="str">
        <f t="shared" si="1"/>
        <v xml:space="preserve"> </v>
      </c>
    </row>
    <row r="308" spans="1:5" ht="12.3">
      <c r="A308" s="26"/>
      <c r="B308" s="23" t="str">
        <f>IF(ISBLANK(A308)," ",VLOOKUP(A308,'Product Database'!A:B,2,FALSE))</f>
        <v xml:space="preserve"> </v>
      </c>
      <c r="C308" s="24" t="str">
        <f>IF(ISBLANK(A308),"",SUMIF(Input!A:A,A308,Input!B:B))</f>
        <v/>
      </c>
      <c r="D308" s="25"/>
      <c r="E308" s="22" t="str">
        <f t="shared" si="1"/>
        <v xml:space="preserve"> </v>
      </c>
    </row>
    <row r="309" spans="1:5" ht="12.3">
      <c r="A309" s="26"/>
      <c r="B309" s="23" t="str">
        <f>IF(ISBLANK(A309)," ",VLOOKUP(A309,'Product Database'!A:B,2,FALSE))</f>
        <v xml:space="preserve"> </v>
      </c>
      <c r="C309" s="24" t="str">
        <f>IF(ISBLANK(A309),"",SUMIF(Input!A:A,A309,Input!B:B))</f>
        <v/>
      </c>
      <c r="D309" s="25"/>
      <c r="E309" s="22" t="str">
        <f t="shared" si="1"/>
        <v xml:space="preserve"> </v>
      </c>
    </row>
    <row r="310" spans="1:5" ht="12.3">
      <c r="A310" s="26"/>
      <c r="B310" s="23" t="str">
        <f>IF(ISBLANK(A310)," ",VLOOKUP(A310,'Product Database'!A:B,2,FALSE))</f>
        <v xml:space="preserve"> </v>
      </c>
      <c r="C310" s="24" t="str">
        <f>IF(ISBLANK(A310),"",SUMIF(Input!A:A,A310,Input!B:B))</f>
        <v/>
      </c>
      <c r="D310" s="25"/>
      <c r="E310" s="22" t="str">
        <f t="shared" si="1"/>
        <v xml:space="preserve"> </v>
      </c>
    </row>
    <row r="311" spans="1:5" ht="12.3">
      <c r="A311" s="26"/>
      <c r="B311" s="23" t="str">
        <f>IF(ISBLANK(A311)," ",VLOOKUP(A311,'Product Database'!A:B,2,FALSE))</f>
        <v xml:space="preserve"> </v>
      </c>
      <c r="C311" s="24" t="str">
        <f>IF(ISBLANK(A311),"",SUMIF(Input!A:A,A311,Input!B:B))</f>
        <v/>
      </c>
      <c r="D311" s="25"/>
      <c r="E311" s="22" t="str">
        <f t="shared" si="1"/>
        <v xml:space="preserve"> </v>
      </c>
    </row>
    <row r="312" spans="1:5" ht="12.3">
      <c r="A312" s="26"/>
      <c r="B312" s="23" t="str">
        <f>IF(ISBLANK(A312)," ",VLOOKUP(A312,'Product Database'!A:B,2,FALSE))</f>
        <v xml:space="preserve"> </v>
      </c>
      <c r="C312" s="24" t="str">
        <f>IF(ISBLANK(A312),"",SUMIF(Input!A:A,A312,Input!B:B))</f>
        <v/>
      </c>
      <c r="D312" s="25"/>
      <c r="E312" s="22" t="str">
        <f t="shared" si="1"/>
        <v xml:space="preserve"> </v>
      </c>
    </row>
    <row r="313" spans="1:5" ht="12.3">
      <c r="A313" s="26"/>
      <c r="B313" s="23" t="str">
        <f>IF(ISBLANK(A313)," ",VLOOKUP(A313,'Product Database'!A:B,2,FALSE))</f>
        <v xml:space="preserve"> </v>
      </c>
      <c r="C313" s="24" t="str">
        <f>IF(ISBLANK(A313),"",SUMIF(Input!A:A,A313,Input!B:B))</f>
        <v/>
      </c>
      <c r="D313" s="25"/>
      <c r="E313" s="22" t="str">
        <f t="shared" si="1"/>
        <v xml:space="preserve"> </v>
      </c>
    </row>
    <row r="314" spans="1:5" ht="12.3">
      <c r="A314" s="26"/>
      <c r="B314" s="23" t="str">
        <f>IF(ISBLANK(A314)," ",VLOOKUP(A314,'Product Database'!A:B,2,FALSE))</f>
        <v xml:space="preserve"> </v>
      </c>
      <c r="C314" s="24" t="str">
        <f>IF(ISBLANK(A314),"",SUMIF(Input!A:A,A314,Input!B:B))</f>
        <v/>
      </c>
      <c r="D314" s="25"/>
      <c r="E314" s="22" t="str">
        <f t="shared" si="1"/>
        <v xml:space="preserve"> </v>
      </c>
    </row>
    <row r="315" spans="1:5" ht="12.3">
      <c r="A315" s="26"/>
      <c r="B315" s="23" t="str">
        <f>IF(ISBLANK(A315)," ",VLOOKUP(A315,'Product Database'!A:B,2,FALSE))</f>
        <v xml:space="preserve"> </v>
      </c>
      <c r="C315" s="24" t="str">
        <f>IF(ISBLANK(A315),"",SUMIF(Input!A:A,A315,Input!B:B))</f>
        <v/>
      </c>
      <c r="D315" s="25"/>
      <c r="E315" s="22" t="str">
        <f t="shared" si="1"/>
        <v xml:space="preserve"> </v>
      </c>
    </row>
    <row r="316" spans="1:5" ht="12.3">
      <c r="A316" s="26"/>
      <c r="B316" s="23" t="str">
        <f>IF(ISBLANK(A316)," ",VLOOKUP(A316,'Product Database'!A:B,2,FALSE))</f>
        <v xml:space="preserve"> </v>
      </c>
      <c r="C316" s="24" t="str">
        <f>IF(ISBLANK(A316),"",SUMIF(Input!A:A,A316,Input!B:B))</f>
        <v/>
      </c>
      <c r="D316" s="25"/>
      <c r="E316" s="22" t="str">
        <f t="shared" si="1"/>
        <v xml:space="preserve"> </v>
      </c>
    </row>
    <row r="317" spans="1:5" ht="12.3">
      <c r="A317" s="26"/>
      <c r="B317" s="23" t="str">
        <f>IF(ISBLANK(A317)," ",VLOOKUP(A317,'Product Database'!A:B,2,FALSE))</f>
        <v xml:space="preserve"> </v>
      </c>
      <c r="C317" s="24" t="str">
        <f>IF(ISBLANK(A317),"",SUMIF(Input!A:A,A317,Input!B:B))</f>
        <v/>
      </c>
      <c r="D317" s="25"/>
      <c r="E317" s="22" t="str">
        <f t="shared" si="1"/>
        <v xml:space="preserve"> </v>
      </c>
    </row>
    <row r="318" spans="1:5" ht="12.3">
      <c r="A318" s="26"/>
      <c r="B318" s="23" t="str">
        <f>IF(ISBLANK(A318)," ",VLOOKUP(A318,'Product Database'!A:B,2,FALSE))</f>
        <v xml:space="preserve"> </v>
      </c>
      <c r="C318" s="24" t="str">
        <f>IF(ISBLANK(A318),"",SUMIF(Input!A:A,A318,Input!B:B))</f>
        <v/>
      </c>
      <c r="D318" s="25"/>
      <c r="E318" s="22" t="str">
        <f t="shared" si="1"/>
        <v xml:space="preserve"> </v>
      </c>
    </row>
    <row r="319" spans="1:5" ht="12.3">
      <c r="A319" s="26"/>
      <c r="B319" s="23" t="str">
        <f>IF(ISBLANK(A319)," ",VLOOKUP(A319,'Product Database'!A:B,2,FALSE))</f>
        <v xml:space="preserve"> </v>
      </c>
      <c r="C319" s="24" t="str">
        <f>IF(ISBLANK(A319),"",SUMIF(Input!A:A,A319,Input!B:B))</f>
        <v/>
      </c>
      <c r="D319" s="25"/>
      <c r="E319" s="22" t="str">
        <f t="shared" si="1"/>
        <v xml:space="preserve"> </v>
      </c>
    </row>
    <row r="320" spans="1:5" ht="12.3">
      <c r="A320" s="26"/>
      <c r="B320" s="23" t="str">
        <f>IF(ISBLANK(A320)," ",VLOOKUP(A320,'Product Database'!A:B,2,FALSE))</f>
        <v xml:space="preserve"> </v>
      </c>
      <c r="C320" s="24" t="str">
        <f>IF(ISBLANK(A320),"",SUMIF(Input!A:A,A320,Input!B:B))</f>
        <v/>
      </c>
      <c r="D320" s="25"/>
      <c r="E320" s="22" t="str">
        <f t="shared" si="1"/>
        <v xml:space="preserve"> </v>
      </c>
    </row>
    <row r="321" spans="1:5" ht="12.3">
      <c r="A321" s="26"/>
      <c r="B321" s="23" t="str">
        <f>IF(ISBLANK(A321)," ",VLOOKUP(A321,'Product Database'!A:B,2,FALSE))</f>
        <v xml:space="preserve"> </v>
      </c>
      <c r="C321" s="24" t="str">
        <f>IF(ISBLANK(A321),"",SUMIF(Input!A:A,A321,Input!B:B))</f>
        <v/>
      </c>
      <c r="D321" s="25"/>
      <c r="E321" s="22" t="str">
        <f t="shared" si="1"/>
        <v xml:space="preserve"> </v>
      </c>
    </row>
    <row r="322" spans="1:5" ht="12.3">
      <c r="A322" s="26"/>
      <c r="B322" s="23" t="str">
        <f>IF(ISBLANK(A322)," ",VLOOKUP(A322,'Product Database'!A:B,2,FALSE))</f>
        <v xml:space="preserve"> </v>
      </c>
      <c r="C322" s="24" t="str">
        <f>IF(ISBLANK(A322),"",SUMIF(Input!A:A,A322,Input!B:B))</f>
        <v/>
      </c>
      <c r="D322" s="25"/>
      <c r="E322" s="22" t="str">
        <f t="shared" si="1"/>
        <v xml:space="preserve"> </v>
      </c>
    </row>
    <row r="323" spans="1:5" ht="12.3">
      <c r="A323" s="26"/>
      <c r="B323" s="23" t="str">
        <f>IF(ISBLANK(A323)," ",VLOOKUP(A323,'Product Database'!A:B,2,FALSE))</f>
        <v xml:space="preserve"> </v>
      </c>
      <c r="C323" s="24" t="str">
        <f>IF(ISBLANK(A323),"",SUMIF(Input!A:A,A323,Input!B:B))</f>
        <v/>
      </c>
      <c r="D323" s="25"/>
      <c r="E323" s="22" t="str">
        <f t="shared" si="1"/>
        <v xml:space="preserve"> </v>
      </c>
    </row>
    <row r="324" spans="1:5" ht="12.3">
      <c r="A324" s="26"/>
      <c r="B324" s="23" t="str">
        <f>IF(ISBLANK(A324)," ",VLOOKUP(A324,'Product Database'!A:B,2,FALSE))</f>
        <v xml:space="preserve"> </v>
      </c>
      <c r="C324" s="24" t="str">
        <f>IF(ISBLANK(A324),"",SUMIF(Input!A:A,A324,Input!B:B))</f>
        <v/>
      </c>
      <c r="D324" s="25"/>
      <c r="E324" s="22" t="str">
        <f t="shared" si="1"/>
        <v xml:space="preserve"> </v>
      </c>
    </row>
    <row r="325" spans="1:5" ht="12.3">
      <c r="A325" s="26"/>
      <c r="B325" s="23" t="str">
        <f>IF(ISBLANK(A325)," ",VLOOKUP(A325,'Product Database'!A:B,2,FALSE))</f>
        <v xml:space="preserve"> </v>
      </c>
      <c r="C325" s="24" t="str">
        <f>IF(ISBLANK(A325),"",SUMIF(Input!A:A,A325,Input!B:B))</f>
        <v/>
      </c>
      <c r="D325" s="25"/>
      <c r="E325" s="22" t="str">
        <f t="shared" si="1"/>
        <v xml:space="preserve"> </v>
      </c>
    </row>
    <row r="326" spans="1:5" ht="12.3">
      <c r="A326" s="26"/>
      <c r="B326" s="23" t="str">
        <f>IF(ISBLANK(A326)," ",VLOOKUP(A326,'Product Database'!A:B,2,FALSE))</f>
        <v xml:space="preserve"> </v>
      </c>
      <c r="C326" s="24" t="str">
        <f>IF(ISBLANK(A326),"",SUMIF(Input!A:A,A326,Input!B:B))</f>
        <v/>
      </c>
      <c r="D326" s="25"/>
      <c r="E326" s="22" t="str">
        <f t="shared" si="1"/>
        <v xml:space="preserve"> </v>
      </c>
    </row>
    <row r="327" spans="1:5" ht="12.3">
      <c r="A327" s="26"/>
      <c r="B327" s="23" t="str">
        <f>IF(ISBLANK(A327)," ",VLOOKUP(A327,'Product Database'!A:B,2,FALSE))</f>
        <v xml:space="preserve"> </v>
      </c>
      <c r="C327" s="24" t="str">
        <f>IF(ISBLANK(A327),"",SUMIF(Input!A:A,A327,Input!B:B))</f>
        <v/>
      </c>
      <c r="D327" s="25"/>
      <c r="E327" s="22" t="str">
        <f t="shared" si="1"/>
        <v xml:space="preserve"> </v>
      </c>
    </row>
    <row r="328" spans="1:5" ht="12.3">
      <c r="A328" s="26"/>
      <c r="B328" s="23" t="str">
        <f>IF(ISBLANK(A328)," ",VLOOKUP(A328,'Product Database'!A:B,2,FALSE))</f>
        <v xml:space="preserve"> </v>
      </c>
      <c r="C328" s="24" t="str">
        <f>IF(ISBLANK(A328),"",SUMIF(Input!A:A,A328,Input!B:B))</f>
        <v/>
      </c>
      <c r="D328" s="25"/>
      <c r="E328" s="22" t="str">
        <f t="shared" si="1"/>
        <v xml:space="preserve"> </v>
      </c>
    </row>
    <row r="329" spans="1:5" ht="12.3">
      <c r="A329" s="26"/>
      <c r="B329" s="23" t="str">
        <f>IF(ISBLANK(A329)," ",VLOOKUP(A329,'Product Database'!A:B,2,FALSE))</f>
        <v xml:space="preserve"> </v>
      </c>
      <c r="C329" s="24" t="str">
        <f>IF(ISBLANK(A329),"",SUMIF(Input!A:A,A329,Input!B:B))</f>
        <v/>
      </c>
      <c r="D329" s="25"/>
      <c r="E329" s="22" t="str">
        <f t="shared" si="1"/>
        <v xml:space="preserve"> </v>
      </c>
    </row>
    <row r="330" spans="1:5" ht="12.3">
      <c r="A330" s="26"/>
      <c r="B330" s="23" t="str">
        <f>IF(ISBLANK(A330)," ",VLOOKUP(A330,'Product Database'!A:B,2,FALSE))</f>
        <v xml:space="preserve"> </v>
      </c>
      <c r="C330" s="24" t="str">
        <f>IF(ISBLANK(A330),"",SUMIF(Input!A:A,A330,Input!B:B))</f>
        <v/>
      </c>
      <c r="D330" s="25"/>
      <c r="E330" s="22" t="str">
        <f t="shared" si="1"/>
        <v xml:space="preserve"> </v>
      </c>
    </row>
    <row r="331" spans="1:5" ht="12.3">
      <c r="A331" s="26"/>
      <c r="B331" s="23" t="str">
        <f>IF(ISBLANK(A331)," ",VLOOKUP(A331,'Product Database'!A:B,2,FALSE))</f>
        <v xml:space="preserve"> </v>
      </c>
      <c r="C331" s="24" t="str">
        <f>IF(ISBLANK(A331),"",SUMIF(Input!A:A,A331,Input!B:B))</f>
        <v/>
      </c>
      <c r="D331" s="25"/>
      <c r="E331" s="22" t="str">
        <f t="shared" si="1"/>
        <v xml:space="preserve"> </v>
      </c>
    </row>
    <row r="332" spans="1:5" ht="12.3">
      <c r="A332" s="26"/>
      <c r="B332" s="23" t="str">
        <f>IF(ISBLANK(A332)," ",VLOOKUP(A332,'Product Database'!A:B,2,FALSE))</f>
        <v xml:space="preserve"> </v>
      </c>
      <c r="C332" s="24" t="str">
        <f>IF(ISBLANK(A332),"",SUMIF(Input!A:A,A332,Input!B:B))</f>
        <v/>
      </c>
      <c r="D332" s="25"/>
      <c r="E332" s="22" t="str">
        <f t="shared" si="1"/>
        <v xml:space="preserve"> </v>
      </c>
    </row>
    <row r="333" spans="1:5" ht="12.3">
      <c r="A333" s="26"/>
      <c r="B333" s="23" t="str">
        <f>IF(ISBLANK(A333)," ",VLOOKUP(A333,'Product Database'!A:B,2,FALSE))</f>
        <v xml:space="preserve"> </v>
      </c>
      <c r="C333" s="24" t="str">
        <f>IF(ISBLANK(A333),"",SUMIF(Input!A:A,A333,Input!B:B))</f>
        <v/>
      </c>
      <c r="D333" s="25"/>
      <c r="E333" s="22" t="str">
        <f t="shared" si="1"/>
        <v xml:space="preserve"> </v>
      </c>
    </row>
    <row r="334" spans="1:5" ht="12.3">
      <c r="A334" s="26"/>
      <c r="B334" s="23" t="str">
        <f>IF(ISBLANK(A334)," ",VLOOKUP(A334,'Product Database'!A:B,2,FALSE))</f>
        <v xml:space="preserve"> </v>
      </c>
      <c r="C334" s="24" t="str">
        <f>IF(ISBLANK(A334),"",SUMIF(Input!A:A,A334,Input!B:B))</f>
        <v/>
      </c>
      <c r="D334" s="25"/>
      <c r="E334" s="22" t="str">
        <f t="shared" si="1"/>
        <v xml:space="preserve"> </v>
      </c>
    </row>
    <row r="335" spans="1:5" ht="12.3">
      <c r="A335" s="26"/>
      <c r="B335" s="23" t="str">
        <f>IF(ISBLANK(A335)," ",VLOOKUP(A335,'Product Database'!A:B,2,FALSE))</f>
        <v xml:space="preserve"> </v>
      </c>
      <c r="C335" s="24" t="str">
        <f>IF(ISBLANK(A335),"",SUMIF(Input!A:A,A335,Input!B:B))</f>
        <v/>
      </c>
      <c r="D335" s="25"/>
      <c r="E335" s="22" t="str">
        <f t="shared" si="1"/>
        <v xml:space="preserve"> </v>
      </c>
    </row>
    <row r="336" spans="1:5" ht="12.3">
      <c r="A336" s="26"/>
      <c r="B336" s="23" t="str">
        <f>IF(ISBLANK(A336)," ",VLOOKUP(A336,'Product Database'!A:B,2,FALSE))</f>
        <v xml:space="preserve"> </v>
      </c>
      <c r="C336" s="24" t="str">
        <f>IF(ISBLANK(A336),"",SUMIF(Input!A:A,A336,Input!B:B))</f>
        <v/>
      </c>
      <c r="D336" s="25"/>
      <c r="E336" s="22" t="str">
        <f t="shared" si="1"/>
        <v xml:space="preserve"> </v>
      </c>
    </row>
    <row r="337" spans="1:5" ht="12.3">
      <c r="A337" s="26"/>
      <c r="B337" s="23" t="str">
        <f>IF(ISBLANK(A337)," ",VLOOKUP(A337,'Product Database'!A:B,2,FALSE))</f>
        <v xml:space="preserve"> </v>
      </c>
      <c r="C337" s="24" t="str">
        <f>IF(ISBLANK(A337),"",SUMIF(Input!A:A,A337,Input!B:B))</f>
        <v/>
      </c>
      <c r="D337" s="25"/>
      <c r="E337" s="22" t="str">
        <f t="shared" si="1"/>
        <v xml:space="preserve"> </v>
      </c>
    </row>
    <row r="338" spans="1:5" ht="12.3">
      <c r="A338" s="26"/>
      <c r="B338" s="23" t="str">
        <f>IF(ISBLANK(A338)," ",VLOOKUP(A338,'Product Database'!A:B,2,FALSE))</f>
        <v xml:space="preserve"> </v>
      </c>
      <c r="C338" s="24" t="str">
        <f>IF(ISBLANK(A338),"",SUMIF(Input!A:A,A338,Input!B:B))</f>
        <v/>
      </c>
      <c r="D338" s="25"/>
      <c r="E338" s="22" t="str">
        <f t="shared" si="1"/>
        <v xml:space="preserve"> </v>
      </c>
    </row>
    <row r="339" spans="1:5" ht="12.3">
      <c r="A339" s="26"/>
      <c r="B339" s="23" t="str">
        <f>IF(ISBLANK(A339)," ",VLOOKUP(A339,'Product Database'!A:B,2,FALSE))</f>
        <v xml:space="preserve"> </v>
      </c>
      <c r="C339" s="24" t="str">
        <f>IF(ISBLANK(A339),"",SUMIF(Input!A:A,A339,Input!B:B))</f>
        <v/>
      </c>
      <c r="D339" s="25"/>
      <c r="E339" s="22" t="str">
        <f t="shared" si="1"/>
        <v xml:space="preserve"> </v>
      </c>
    </row>
    <row r="340" spans="1:5" ht="12.3">
      <c r="A340" s="26"/>
      <c r="B340" s="23" t="str">
        <f>IF(ISBLANK(A340)," ",VLOOKUP(A340,'Product Database'!A:B,2,FALSE))</f>
        <v xml:space="preserve"> </v>
      </c>
      <c r="C340" s="24" t="str">
        <f>IF(ISBLANK(A340),"",SUMIF(Input!A:A,A340,Input!B:B))</f>
        <v/>
      </c>
      <c r="D340" s="25"/>
      <c r="E340" s="22" t="str">
        <f t="shared" si="1"/>
        <v xml:space="preserve"> </v>
      </c>
    </row>
    <row r="341" spans="1:5" ht="12.3">
      <c r="A341" s="26"/>
      <c r="B341" s="23" t="str">
        <f>IF(ISBLANK(A341)," ",VLOOKUP(A341,'Product Database'!A:B,2,FALSE))</f>
        <v xml:space="preserve"> </v>
      </c>
      <c r="C341" s="24" t="str">
        <f>IF(ISBLANK(A341),"",SUMIF(Input!A:A,A341,Input!B:B))</f>
        <v/>
      </c>
      <c r="D341" s="25"/>
      <c r="E341" s="22" t="str">
        <f t="shared" si="1"/>
        <v xml:space="preserve"> </v>
      </c>
    </row>
    <row r="342" spans="1:5" ht="12.3">
      <c r="A342" s="26"/>
      <c r="B342" s="23" t="str">
        <f>IF(ISBLANK(A342)," ",VLOOKUP(A342,'Product Database'!A:B,2,FALSE))</f>
        <v xml:space="preserve"> </v>
      </c>
      <c r="C342" s="24" t="str">
        <f>IF(ISBLANK(A342),"",SUMIF(Input!A:A,A342,Input!B:B))</f>
        <v/>
      </c>
      <c r="D342" s="25"/>
      <c r="E342" s="22" t="str">
        <f t="shared" si="1"/>
        <v xml:space="preserve"> </v>
      </c>
    </row>
    <row r="343" spans="1:5" ht="12.3">
      <c r="A343" s="26"/>
      <c r="B343" s="23" t="str">
        <f>IF(ISBLANK(A343)," ",VLOOKUP(A343,'Product Database'!A:B,2,FALSE))</f>
        <v xml:space="preserve"> </v>
      </c>
      <c r="C343" s="24" t="str">
        <f>IF(ISBLANK(A343),"",SUMIF(Input!A:A,A343,Input!B:B))</f>
        <v/>
      </c>
      <c r="D343" s="25"/>
      <c r="E343" s="22" t="str">
        <f t="shared" si="1"/>
        <v xml:space="preserve"> </v>
      </c>
    </row>
    <row r="344" spans="1:5" ht="12.3">
      <c r="A344" s="26"/>
      <c r="B344" s="23" t="str">
        <f>IF(ISBLANK(A344)," ",VLOOKUP(A344,'Product Database'!A:B,2,FALSE))</f>
        <v xml:space="preserve"> </v>
      </c>
      <c r="C344" s="24" t="str">
        <f>IF(ISBLANK(A344),"",SUMIF(Input!A:A,A344,Input!B:B))</f>
        <v/>
      </c>
      <c r="D344" s="25"/>
      <c r="E344" s="22" t="str">
        <f t="shared" si="1"/>
        <v xml:space="preserve"> </v>
      </c>
    </row>
    <row r="345" spans="1:5" ht="12.3">
      <c r="A345" s="26"/>
      <c r="B345" s="23" t="str">
        <f>IF(ISBLANK(A345)," ",VLOOKUP(A345,'Product Database'!A:B,2,FALSE))</f>
        <v xml:space="preserve"> </v>
      </c>
      <c r="C345" s="24" t="str">
        <f>IF(ISBLANK(A345),"",SUMIF(Input!A:A,A345,Input!B:B))</f>
        <v/>
      </c>
      <c r="D345" s="25"/>
      <c r="E345" s="22" t="str">
        <f t="shared" si="1"/>
        <v xml:space="preserve"> </v>
      </c>
    </row>
    <row r="346" spans="1:5" ht="12.3">
      <c r="A346" s="26"/>
      <c r="B346" s="23" t="str">
        <f>IF(ISBLANK(A346)," ",VLOOKUP(A346,'Product Database'!A:B,2,FALSE))</f>
        <v xml:space="preserve"> </v>
      </c>
      <c r="C346" s="24" t="str">
        <f>IF(ISBLANK(A346),"",SUMIF(Input!A:A,A346,Input!B:B))</f>
        <v/>
      </c>
      <c r="D346" s="25"/>
      <c r="E346" s="22" t="str">
        <f t="shared" si="1"/>
        <v xml:space="preserve"> </v>
      </c>
    </row>
    <row r="347" spans="1:5" ht="12.3">
      <c r="A347" s="26"/>
      <c r="B347" s="23" t="str">
        <f>IF(ISBLANK(A347)," ",VLOOKUP(A347,'Product Database'!A:B,2,FALSE))</f>
        <v xml:space="preserve"> </v>
      </c>
      <c r="C347" s="24" t="str">
        <f>IF(ISBLANK(A347),"",SUMIF(Input!A:A,A347,Input!B:B))</f>
        <v/>
      </c>
      <c r="D347" s="25"/>
      <c r="E347" s="22" t="str">
        <f t="shared" si="1"/>
        <v xml:space="preserve"> </v>
      </c>
    </row>
    <row r="348" spans="1:5" ht="12.3">
      <c r="A348" s="26"/>
      <c r="B348" s="23" t="str">
        <f>IF(ISBLANK(A348)," ",VLOOKUP(A348,'Product Database'!A:B,2,FALSE))</f>
        <v xml:space="preserve"> </v>
      </c>
      <c r="C348" s="24" t="str">
        <f>IF(ISBLANK(A348),"",SUMIF(Input!A:A,A348,Input!B:B))</f>
        <v/>
      </c>
      <c r="D348" s="25"/>
      <c r="E348" s="22" t="str">
        <f t="shared" si="1"/>
        <v xml:space="preserve"> </v>
      </c>
    </row>
    <row r="349" spans="1:5" ht="12.3">
      <c r="A349" s="26"/>
      <c r="B349" s="23" t="str">
        <f>IF(ISBLANK(A349)," ",VLOOKUP(A349,'Product Database'!A:B,2,FALSE))</f>
        <v xml:space="preserve"> </v>
      </c>
      <c r="C349" s="24" t="str">
        <f>IF(ISBLANK(A349),"",SUMIF(Input!A:A,A349,Input!B:B))</f>
        <v/>
      </c>
      <c r="D349" s="25"/>
      <c r="E349" s="22" t="str">
        <f t="shared" si="1"/>
        <v xml:space="preserve"> </v>
      </c>
    </row>
    <row r="350" spans="1:5" ht="12.3">
      <c r="A350" s="26"/>
      <c r="B350" s="23" t="str">
        <f>IF(ISBLANK(A350)," ",VLOOKUP(A350,'Product Database'!A:B,2,FALSE))</f>
        <v xml:space="preserve"> </v>
      </c>
      <c r="C350" s="24" t="str">
        <f>IF(ISBLANK(A350),"",SUMIF(Input!A:A,A350,Input!B:B))</f>
        <v/>
      </c>
      <c r="D350" s="25"/>
      <c r="E350" s="22" t="str">
        <f t="shared" si="1"/>
        <v xml:space="preserve"> </v>
      </c>
    </row>
    <row r="351" spans="1:5" ht="12.3">
      <c r="A351" s="26"/>
      <c r="B351" s="23" t="str">
        <f>IF(ISBLANK(A351)," ",VLOOKUP(A351,'Product Database'!A:B,2,FALSE))</f>
        <v xml:space="preserve"> </v>
      </c>
      <c r="C351" s="24" t="str">
        <f>IF(ISBLANK(A351),"",SUMIF(Input!A:A,A351,Input!B:B))</f>
        <v/>
      </c>
      <c r="D351" s="25"/>
      <c r="E351" s="22" t="str">
        <f t="shared" si="1"/>
        <v xml:space="preserve"> </v>
      </c>
    </row>
    <row r="352" spans="1:5" ht="12.3">
      <c r="A352" s="26"/>
      <c r="B352" s="23" t="str">
        <f>IF(ISBLANK(A352)," ",VLOOKUP(A352,'Product Database'!A:B,2,FALSE))</f>
        <v xml:space="preserve"> </v>
      </c>
      <c r="C352" s="24" t="str">
        <f>IF(ISBLANK(A352),"",SUMIF(Input!A:A,A352,Input!B:B))</f>
        <v/>
      </c>
      <c r="D352" s="25"/>
      <c r="E352" s="22" t="str">
        <f t="shared" si="1"/>
        <v xml:space="preserve"> </v>
      </c>
    </row>
    <row r="353" spans="1:5" ht="12.3">
      <c r="A353" s="26"/>
      <c r="B353" s="23" t="str">
        <f>IF(ISBLANK(A353)," ",VLOOKUP(A353,'Product Database'!A:B,2,FALSE))</f>
        <v xml:space="preserve"> </v>
      </c>
      <c r="C353" s="24" t="str">
        <f>IF(ISBLANK(A353),"",SUMIF(Input!A:A,A353,Input!B:B))</f>
        <v/>
      </c>
      <c r="D353" s="25"/>
      <c r="E353" s="22" t="str">
        <f t="shared" si="1"/>
        <v xml:space="preserve"> </v>
      </c>
    </row>
    <row r="354" spans="1:5" ht="12.3">
      <c r="A354" s="26"/>
      <c r="B354" s="23" t="str">
        <f>IF(ISBLANK(A354)," ",VLOOKUP(A354,'Product Database'!A:B,2,FALSE))</f>
        <v xml:space="preserve"> </v>
      </c>
      <c r="C354" s="24" t="str">
        <f>IF(ISBLANK(A354),"",SUMIF(Input!A:A,A354,Input!B:B))</f>
        <v/>
      </c>
      <c r="D354" s="25"/>
      <c r="E354" s="22" t="str">
        <f t="shared" si="1"/>
        <v xml:space="preserve"> </v>
      </c>
    </row>
    <row r="355" spans="1:5" ht="12.3">
      <c r="A355" s="26"/>
      <c r="B355" s="23" t="str">
        <f>IF(ISBLANK(A355)," ",VLOOKUP(A355,'Product Database'!A:B,2,FALSE))</f>
        <v xml:space="preserve"> </v>
      </c>
      <c r="C355" s="24" t="str">
        <f>IF(ISBLANK(A355),"",SUMIF(Input!A:A,A355,Input!B:B))</f>
        <v/>
      </c>
      <c r="D355" s="25"/>
      <c r="E355" s="22" t="str">
        <f t="shared" si="1"/>
        <v xml:space="preserve"> </v>
      </c>
    </row>
    <row r="356" spans="1:5" ht="12.3">
      <c r="A356" s="26"/>
      <c r="B356" s="23" t="str">
        <f>IF(ISBLANK(A356)," ",VLOOKUP(A356,'Product Database'!A:B,2,FALSE))</f>
        <v xml:space="preserve"> </v>
      </c>
      <c r="C356" s="24" t="str">
        <f>IF(ISBLANK(A356),"",SUMIF(Input!A:A,A356,Input!B:B))</f>
        <v/>
      </c>
      <c r="D356" s="25"/>
      <c r="E356" s="22" t="str">
        <f t="shared" si="1"/>
        <v xml:space="preserve"> </v>
      </c>
    </row>
    <row r="357" spans="1:5" ht="12.3">
      <c r="A357" s="26"/>
      <c r="B357" s="23" t="str">
        <f>IF(ISBLANK(A357)," ",VLOOKUP(A357,'Product Database'!A:B,2,FALSE))</f>
        <v xml:space="preserve"> </v>
      </c>
      <c r="C357" s="24" t="str">
        <f>IF(ISBLANK(A357),"",SUMIF(Input!A:A,A357,Input!B:B))</f>
        <v/>
      </c>
      <c r="D357" s="25"/>
      <c r="E357" s="22" t="str">
        <f t="shared" si="1"/>
        <v xml:space="preserve"> </v>
      </c>
    </row>
    <row r="358" spans="1:5" ht="12.3">
      <c r="A358" s="26"/>
      <c r="B358" s="23" t="str">
        <f>IF(ISBLANK(A358)," ",VLOOKUP(A358,'Product Database'!A:B,2,FALSE))</f>
        <v xml:space="preserve"> </v>
      </c>
      <c r="C358" s="24" t="str">
        <f>IF(ISBLANK(A358),"",SUMIF(Input!A:A,A358,Input!B:B))</f>
        <v/>
      </c>
      <c r="D358" s="25"/>
      <c r="E358" s="22" t="str">
        <f t="shared" si="1"/>
        <v xml:space="preserve"> </v>
      </c>
    </row>
    <row r="359" spans="1:5" ht="12.3">
      <c r="A359" s="26"/>
      <c r="B359" s="23" t="str">
        <f>IF(ISBLANK(A359)," ",VLOOKUP(A359,'Product Database'!A:B,2,FALSE))</f>
        <v xml:space="preserve"> </v>
      </c>
      <c r="C359" s="24" t="str">
        <f>IF(ISBLANK(A359),"",SUMIF(Input!A:A,A359,Input!B:B))</f>
        <v/>
      </c>
      <c r="D359" s="25"/>
      <c r="E359" s="22" t="str">
        <f t="shared" si="1"/>
        <v xml:space="preserve"> </v>
      </c>
    </row>
    <row r="360" spans="1:5" ht="12.3">
      <c r="A360" s="26"/>
      <c r="B360" s="23" t="str">
        <f>IF(ISBLANK(A360)," ",VLOOKUP(A360,'Product Database'!A:B,2,FALSE))</f>
        <v xml:space="preserve"> </v>
      </c>
      <c r="C360" s="24" t="str">
        <f>IF(ISBLANK(A360),"",SUMIF(Input!A:A,A360,Input!B:B))</f>
        <v/>
      </c>
      <c r="D360" s="25"/>
      <c r="E360" s="22" t="str">
        <f t="shared" si="1"/>
        <v xml:space="preserve"> </v>
      </c>
    </row>
    <row r="361" spans="1:5" ht="12.3">
      <c r="A361" s="26"/>
      <c r="B361" s="23" t="str">
        <f>IF(ISBLANK(A361)," ",VLOOKUP(A361,'Product Database'!A:B,2,FALSE))</f>
        <v xml:space="preserve"> </v>
      </c>
      <c r="C361" s="24" t="str">
        <f>IF(ISBLANK(A361),"",SUMIF(Input!A:A,A361,Input!B:B))</f>
        <v/>
      </c>
      <c r="D361" s="25"/>
      <c r="E361" s="22" t="str">
        <f t="shared" si="1"/>
        <v xml:space="preserve"> </v>
      </c>
    </row>
    <row r="362" spans="1:5" ht="12.3">
      <c r="A362" s="26"/>
      <c r="B362" s="23" t="str">
        <f>IF(ISBLANK(A362)," ",VLOOKUP(A362,'Product Database'!A:B,2,FALSE))</f>
        <v xml:space="preserve"> </v>
      </c>
      <c r="C362" s="24" t="str">
        <f>IF(ISBLANK(A362),"",SUMIF(Input!A:A,A362,Input!B:B))</f>
        <v/>
      </c>
      <c r="D362" s="25"/>
      <c r="E362" s="22" t="str">
        <f t="shared" si="1"/>
        <v xml:space="preserve"> </v>
      </c>
    </row>
    <row r="363" spans="1:5" ht="12.3">
      <c r="A363" s="26"/>
      <c r="B363" s="23" t="str">
        <f>IF(ISBLANK(A363)," ",VLOOKUP(A363,'Product Database'!A:B,2,FALSE))</f>
        <v xml:space="preserve"> </v>
      </c>
      <c r="C363" s="24" t="str">
        <f>IF(ISBLANK(A363),"",SUMIF(Input!A:A,A363,Input!B:B))</f>
        <v/>
      </c>
      <c r="D363" s="25"/>
      <c r="E363" s="22" t="str">
        <f t="shared" si="1"/>
        <v xml:space="preserve"> </v>
      </c>
    </row>
    <row r="364" spans="1:5" ht="12.3">
      <c r="A364" s="26"/>
      <c r="B364" s="23" t="str">
        <f>IF(ISBLANK(A364)," ",VLOOKUP(A364,'Product Database'!A:B,2,FALSE))</f>
        <v xml:space="preserve"> </v>
      </c>
      <c r="C364" s="24" t="str">
        <f>IF(ISBLANK(A364),"",SUMIF(Input!A:A,A364,Input!B:B))</f>
        <v/>
      </c>
      <c r="D364" s="25"/>
      <c r="E364" s="22" t="str">
        <f t="shared" si="1"/>
        <v xml:space="preserve"> </v>
      </c>
    </row>
    <row r="365" spans="1:5" ht="12.3">
      <c r="A365" s="26"/>
      <c r="B365" s="23" t="str">
        <f>IF(ISBLANK(A365)," ",VLOOKUP(A365,'Product Database'!A:B,2,FALSE))</f>
        <v xml:space="preserve"> </v>
      </c>
      <c r="C365" s="24" t="str">
        <f>IF(ISBLANK(A365),"",SUMIF(Input!A:A,A365,Input!B:B))</f>
        <v/>
      </c>
      <c r="D365" s="25"/>
      <c r="E365" s="22" t="str">
        <f t="shared" si="1"/>
        <v xml:space="preserve"> </v>
      </c>
    </row>
    <row r="366" spans="1:5" ht="12.3">
      <c r="A366" s="26"/>
      <c r="B366" s="23" t="str">
        <f>IF(ISBLANK(A366)," ",VLOOKUP(A366,'Product Database'!A:B,2,FALSE))</f>
        <v xml:space="preserve"> </v>
      </c>
      <c r="C366" s="24" t="str">
        <f>IF(ISBLANK(A366),"",SUMIF(Input!A:A,A366,Input!B:B))</f>
        <v/>
      </c>
      <c r="D366" s="25"/>
      <c r="E366" s="22" t="str">
        <f t="shared" si="1"/>
        <v xml:space="preserve"> </v>
      </c>
    </row>
    <row r="367" spans="1:5" ht="12.3">
      <c r="A367" s="26"/>
      <c r="B367" s="23" t="str">
        <f>IF(ISBLANK(A367)," ",VLOOKUP(A367,'Product Database'!A:B,2,FALSE))</f>
        <v xml:space="preserve"> </v>
      </c>
      <c r="C367" s="24" t="str">
        <f>IF(ISBLANK(A367),"",SUMIF(Input!A:A,A367,Input!B:B))</f>
        <v/>
      </c>
      <c r="D367" s="25"/>
      <c r="E367" s="22" t="str">
        <f t="shared" si="1"/>
        <v xml:space="preserve"> </v>
      </c>
    </row>
    <row r="368" spans="1:5" ht="12.3">
      <c r="A368" s="26"/>
      <c r="B368" s="23" t="str">
        <f>IF(ISBLANK(A368)," ",VLOOKUP(A368,'Product Database'!A:B,2,FALSE))</f>
        <v xml:space="preserve"> </v>
      </c>
      <c r="C368" s="24" t="str">
        <f>IF(ISBLANK(A368),"",SUMIF(Input!A:A,A368,Input!B:B))</f>
        <v/>
      </c>
      <c r="D368" s="25"/>
      <c r="E368" s="22" t="str">
        <f t="shared" si="1"/>
        <v xml:space="preserve"> </v>
      </c>
    </row>
    <row r="369" spans="1:5" ht="12.3">
      <c r="A369" s="26"/>
      <c r="B369" s="23" t="str">
        <f>IF(ISBLANK(A369)," ",VLOOKUP(A369,'Product Database'!A:B,2,FALSE))</f>
        <v xml:space="preserve"> </v>
      </c>
      <c r="C369" s="24" t="str">
        <f>IF(ISBLANK(A369),"",SUMIF(Input!A:A,A369,Input!B:B))</f>
        <v/>
      </c>
      <c r="D369" s="25"/>
      <c r="E369" s="22" t="str">
        <f t="shared" si="1"/>
        <v xml:space="preserve"> </v>
      </c>
    </row>
    <row r="370" spans="1:5" ht="12.3">
      <c r="A370" s="26"/>
      <c r="B370" s="23" t="str">
        <f>IF(ISBLANK(A370)," ",VLOOKUP(A370,'Product Database'!A:B,2,FALSE))</f>
        <v xml:space="preserve"> </v>
      </c>
      <c r="C370" s="24" t="str">
        <f>IF(ISBLANK(A370),"",SUMIF(Input!A:A,A370,Input!B:B))</f>
        <v/>
      </c>
      <c r="D370" s="25"/>
      <c r="E370" s="22" t="str">
        <f t="shared" si="1"/>
        <v xml:space="preserve"> </v>
      </c>
    </row>
    <row r="371" spans="1:5" ht="12.3">
      <c r="A371" s="26"/>
      <c r="B371" s="23" t="str">
        <f>IF(ISBLANK(A371)," ",VLOOKUP(A371,'Product Database'!A:B,2,FALSE))</f>
        <v xml:space="preserve"> </v>
      </c>
      <c r="C371" s="24" t="str">
        <f>IF(ISBLANK(A371),"",SUMIF(Input!A:A,A371,Input!B:B))</f>
        <v/>
      </c>
      <c r="D371" s="25"/>
      <c r="E371" s="22" t="str">
        <f t="shared" si="1"/>
        <v xml:space="preserve"> </v>
      </c>
    </row>
    <row r="372" spans="1:5" ht="12.3">
      <c r="A372" s="26"/>
      <c r="B372" s="23" t="str">
        <f>IF(ISBLANK(A372)," ",VLOOKUP(A372,'Product Database'!A:B,2,FALSE))</f>
        <v xml:space="preserve"> </v>
      </c>
      <c r="C372" s="24" t="str">
        <f>IF(ISBLANK(A372),"",SUMIF(Input!A:A,A372,Input!B:B))</f>
        <v/>
      </c>
      <c r="D372" s="25"/>
      <c r="E372" s="22" t="str">
        <f t="shared" si="1"/>
        <v xml:space="preserve"> </v>
      </c>
    </row>
    <row r="373" spans="1:5" ht="12.3">
      <c r="A373" s="26"/>
      <c r="B373" s="23" t="str">
        <f>IF(ISBLANK(A373)," ",VLOOKUP(A373,'Product Database'!A:B,2,FALSE))</f>
        <v xml:space="preserve"> </v>
      </c>
      <c r="C373" s="24" t="str">
        <f>IF(ISBLANK(A373),"",SUMIF(Input!A:A,A373,Input!B:B))</f>
        <v/>
      </c>
      <c r="D373" s="25"/>
      <c r="E373" s="22" t="str">
        <f t="shared" si="1"/>
        <v xml:space="preserve"> </v>
      </c>
    </row>
    <row r="374" spans="1:5" ht="12.3">
      <c r="A374" s="26"/>
      <c r="B374" s="23" t="str">
        <f>IF(ISBLANK(A374)," ",VLOOKUP(A374,'Product Database'!A:B,2,FALSE))</f>
        <v xml:space="preserve"> </v>
      </c>
      <c r="C374" s="24" t="str">
        <f>IF(ISBLANK(A374),"",SUMIF(Input!A:A,A374,Input!B:B))</f>
        <v/>
      </c>
      <c r="D374" s="25"/>
      <c r="E374" s="22" t="str">
        <f t="shared" si="1"/>
        <v xml:space="preserve"> </v>
      </c>
    </row>
    <row r="375" spans="1:5" ht="12.3">
      <c r="A375" s="26"/>
      <c r="B375" s="23" t="str">
        <f>IF(ISBLANK(A375)," ",VLOOKUP(A375,'Product Database'!A:B,2,FALSE))</f>
        <v xml:space="preserve"> </v>
      </c>
      <c r="C375" s="24" t="str">
        <f>IF(ISBLANK(A375),"",SUMIF(Input!A:A,A375,Input!B:B))</f>
        <v/>
      </c>
      <c r="D375" s="25"/>
      <c r="E375" s="22" t="str">
        <f t="shared" si="1"/>
        <v xml:space="preserve"> </v>
      </c>
    </row>
    <row r="376" spans="1:5" ht="12.3">
      <c r="A376" s="26"/>
      <c r="B376" s="23" t="str">
        <f>IF(ISBLANK(A376)," ",VLOOKUP(A376,'Product Database'!A:B,2,FALSE))</f>
        <v xml:space="preserve"> </v>
      </c>
      <c r="C376" s="24" t="str">
        <f>IF(ISBLANK(A376),"",SUMIF(Input!A:A,A376,Input!B:B))</f>
        <v/>
      </c>
      <c r="D376" s="25"/>
      <c r="E376" s="22" t="str">
        <f t="shared" si="1"/>
        <v xml:space="preserve"> </v>
      </c>
    </row>
    <row r="377" spans="1:5" ht="12.3">
      <c r="A377" s="26"/>
      <c r="B377" s="23" t="str">
        <f>IF(ISBLANK(A377)," ",VLOOKUP(A377,'Product Database'!A:B,2,FALSE))</f>
        <v xml:space="preserve"> </v>
      </c>
      <c r="C377" s="24" t="str">
        <f>IF(ISBLANK(A377),"",SUMIF(Input!A:A,A377,Input!B:B))</f>
        <v/>
      </c>
      <c r="D377" s="25"/>
      <c r="E377" s="22" t="str">
        <f t="shared" si="1"/>
        <v xml:space="preserve"> </v>
      </c>
    </row>
    <row r="378" spans="1:5" ht="12.3">
      <c r="A378" s="26"/>
      <c r="B378" s="23" t="str">
        <f>IF(ISBLANK(A378)," ",VLOOKUP(A378,'Product Database'!A:B,2,FALSE))</f>
        <v xml:space="preserve"> </v>
      </c>
      <c r="C378" s="24" t="str">
        <f>IF(ISBLANK(A378),"",SUMIF(Input!A:A,A378,Input!B:B))</f>
        <v/>
      </c>
      <c r="D378" s="25"/>
      <c r="E378" s="22" t="str">
        <f t="shared" si="1"/>
        <v xml:space="preserve"> </v>
      </c>
    </row>
    <row r="379" spans="1:5" ht="12.3">
      <c r="A379" s="26"/>
      <c r="B379" s="23" t="str">
        <f>IF(ISBLANK(A379)," ",VLOOKUP(A379,'Product Database'!A:B,2,FALSE))</f>
        <v xml:space="preserve"> </v>
      </c>
      <c r="C379" s="24" t="str">
        <f>IF(ISBLANK(A379),"",SUMIF(Input!A:A,A379,Input!B:B))</f>
        <v/>
      </c>
      <c r="D379" s="25"/>
      <c r="E379" s="22" t="str">
        <f t="shared" si="1"/>
        <v xml:space="preserve"> </v>
      </c>
    </row>
    <row r="380" spans="1:5" ht="12.3">
      <c r="A380" s="26"/>
      <c r="B380" s="23" t="str">
        <f>IF(ISBLANK(A380)," ",VLOOKUP(A380,'Product Database'!A:B,2,FALSE))</f>
        <v xml:space="preserve"> </v>
      </c>
      <c r="C380" s="24" t="str">
        <f>IF(ISBLANK(A380),"",SUMIF(Input!A:A,A380,Input!B:B))</f>
        <v/>
      </c>
      <c r="D380" s="25"/>
      <c r="E380" s="22" t="str">
        <f t="shared" si="1"/>
        <v xml:space="preserve"> </v>
      </c>
    </row>
    <row r="381" spans="1:5" ht="12.3">
      <c r="A381" s="26"/>
      <c r="B381" s="23" t="str">
        <f>IF(ISBLANK(A381)," ",VLOOKUP(A381,'Product Database'!A:B,2,FALSE))</f>
        <v xml:space="preserve"> </v>
      </c>
      <c r="C381" s="24" t="str">
        <f>IF(ISBLANK(A381),"",SUMIF(Input!A:A,A381,Input!B:B))</f>
        <v/>
      </c>
      <c r="D381" s="25"/>
      <c r="E381" s="22" t="str">
        <f t="shared" si="1"/>
        <v xml:space="preserve"> </v>
      </c>
    </row>
    <row r="382" spans="1:5" ht="12.3">
      <c r="A382" s="26"/>
      <c r="B382" s="23" t="str">
        <f>IF(ISBLANK(A382)," ",VLOOKUP(A382,'Product Database'!A:B,2,FALSE))</f>
        <v xml:space="preserve"> </v>
      </c>
      <c r="C382" s="24" t="str">
        <f>IF(ISBLANK(A382),"",SUMIF(Input!A:A,A382,Input!B:B))</f>
        <v/>
      </c>
      <c r="D382" s="25"/>
      <c r="E382" s="22" t="str">
        <f t="shared" si="1"/>
        <v xml:space="preserve"> </v>
      </c>
    </row>
    <row r="383" spans="1:5" ht="12.3">
      <c r="A383" s="26"/>
      <c r="B383" s="23" t="str">
        <f>IF(ISBLANK(A383)," ",VLOOKUP(A383,'Product Database'!A:B,2,FALSE))</f>
        <v xml:space="preserve"> </v>
      </c>
      <c r="C383" s="24" t="str">
        <f>IF(ISBLANK(A383),"",SUMIF(Input!A:A,A383,Input!B:B))</f>
        <v/>
      </c>
      <c r="D383" s="25"/>
      <c r="E383" s="22" t="str">
        <f t="shared" si="1"/>
        <v xml:space="preserve"> </v>
      </c>
    </row>
    <row r="384" spans="1:5" ht="12.3">
      <c r="A384" s="26"/>
      <c r="B384" s="23" t="str">
        <f>IF(ISBLANK(A384)," ",VLOOKUP(A384,'Product Database'!A:B,2,FALSE))</f>
        <v xml:space="preserve"> </v>
      </c>
      <c r="C384" s="24" t="str">
        <f>IF(ISBLANK(A384),"",SUMIF(Input!A:A,A384,Input!B:B))</f>
        <v/>
      </c>
      <c r="D384" s="25"/>
      <c r="E384" s="22" t="str">
        <f t="shared" si="1"/>
        <v xml:space="preserve"> </v>
      </c>
    </row>
    <row r="385" spans="1:5" ht="12.3">
      <c r="A385" s="26"/>
      <c r="B385" s="23" t="str">
        <f>IF(ISBLANK(A385)," ",VLOOKUP(A385,'Product Database'!A:B,2,FALSE))</f>
        <v xml:space="preserve"> </v>
      </c>
      <c r="C385" s="24" t="str">
        <f>IF(ISBLANK(A385),"",SUMIF(Input!A:A,A385,Input!B:B))</f>
        <v/>
      </c>
      <c r="D385" s="25"/>
      <c r="E385" s="22" t="str">
        <f t="shared" si="1"/>
        <v xml:space="preserve"> </v>
      </c>
    </row>
    <row r="386" spans="1:5" ht="12.3">
      <c r="A386" s="26"/>
      <c r="B386" s="23" t="str">
        <f>IF(ISBLANK(A386)," ",VLOOKUP(A386,'Product Database'!A:B,2,FALSE))</f>
        <v xml:space="preserve"> </v>
      </c>
      <c r="C386" s="24" t="str">
        <f>IF(ISBLANK(A386),"",SUMIF(Input!A:A,A386,Input!B:B))</f>
        <v/>
      </c>
      <c r="D386" s="25"/>
      <c r="E386" s="22" t="str">
        <f t="shared" si="1"/>
        <v xml:space="preserve"> </v>
      </c>
    </row>
    <row r="387" spans="1:5" ht="12.3">
      <c r="A387" s="26"/>
      <c r="B387" s="23" t="str">
        <f>IF(ISBLANK(A387)," ",VLOOKUP(A387,'Product Database'!A:B,2,FALSE))</f>
        <v xml:space="preserve"> </v>
      </c>
      <c r="C387" s="24" t="str">
        <f>IF(ISBLANK(A387),"",SUMIF(Input!A:A,A387,Input!B:B))</f>
        <v/>
      </c>
      <c r="D387" s="25"/>
      <c r="E387" s="22" t="str">
        <f t="shared" si="1"/>
        <v xml:space="preserve"> </v>
      </c>
    </row>
    <row r="388" spans="1:5" ht="12.3">
      <c r="A388" s="26"/>
      <c r="B388" s="23" t="str">
        <f>IF(ISBLANK(A388)," ",VLOOKUP(A388,'Product Database'!A:B,2,FALSE))</f>
        <v xml:space="preserve"> </v>
      </c>
      <c r="C388" s="24" t="str">
        <f>IF(ISBLANK(A388),"",SUMIF(Input!A:A,A388,Input!B:B))</f>
        <v/>
      </c>
      <c r="D388" s="25"/>
      <c r="E388" s="22" t="str">
        <f t="shared" si="1"/>
        <v xml:space="preserve"> </v>
      </c>
    </row>
    <row r="389" spans="1:5" ht="12.3">
      <c r="A389" s="26"/>
      <c r="B389" s="23" t="str">
        <f>IF(ISBLANK(A389)," ",VLOOKUP(A389,'Product Database'!A:B,2,FALSE))</f>
        <v xml:space="preserve"> </v>
      </c>
      <c r="C389" s="24" t="str">
        <f>IF(ISBLANK(A389),"",SUMIF(Input!A:A,A389,Input!B:B))</f>
        <v/>
      </c>
      <c r="D389" s="25"/>
      <c r="E389" s="22" t="str">
        <f t="shared" si="1"/>
        <v xml:space="preserve"> </v>
      </c>
    </row>
    <row r="390" spans="1:5" ht="12.3">
      <c r="A390" s="26"/>
      <c r="B390" s="23" t="str">
        <f>IF(ISBLANK(A390)," ",VLOOKUP(A390,'Product Database'!A:B,2,FALSE))</f>
        <v xml:space="preserve"> </v>
      </c>
      <c r="C390" s="24" t="str">
        <f>IF(ISBLANK(A390),"",SUMIF(Input!A:A,A390,Input!B:B))</f>
        <v/>
      </c>
      <c r="D390" s="25"/>
      <c r="E390" s="22" t="str">
        <f t="shared" si="1"/>
        <v xml:space="preserve"> </v>
      </c>
    </row>
    <row r="391" spans="1:5" ht="12.3">
      <c r="A391" s="26"/>
      <c r="B391" s="23" t="str">
        <f>IF(ISBLANK(A391)," ",VLOOKUP(A391,'Product Database'!A:B,2,FALSE))</f>
        <v xml:space="preserve"> </v>
      </c>
      <c r="C391" s="24" t="str">
        <f>IF(ISBLANK(A391),"",SUMIF(Input!A:A,A391,Input!B:B))</f>
        <v/>
      </c>
      <c r="D391" s="25"/>
      <c r="E391" s="22" t="str">
        <f t="shared" si="1"/>
        <v xml:space="preserve"> </v>
      </c>
    </row>
    <row r="392" spans="1:5" ht="12.3">
      <c r="A392" s="26"/>
      <c r="B392" s="23" t="str">
        <f>IF(ISBLANK(A392)," ",VLOOKUP(A392,'Product Database'!A:B,2,FALSE))</f>
        <v xml:space="preserve"> </v>
      </c>
      <c r="C392" s="24" t="str">
        <f>IF(ISBLANK(A392),"",SUMIF(Input!A:A,A392,Input!B:B))</f>
        <v/>
      </c>
      <c r="D392" s="25"/>
      <c r="E392" s="22" t="str">
        <f t="shared" si="1"/>
        <v xml:space="preserve"> </v>
      </c>
    </row>
    <row r="393" spans="1:5" ht="12.3">
      <c r="A393" s="26"/>
      <c r="B393" s="23" t="str">
        <f>IF(ISBLANK(A393)," ",VLOOKUP(A393,'Product Database'!A:B,2,FALSE))</f>
        <v xml:space="preserve"> </v>
      </c>
      <c r="C393" s="24" t="str">
        <f>IF(ISBLANK(A393),"",SUMIF(Input!A:A,A393,Input!B:B))</f>
        <v/>
      </c>
      <c r="D393" s="25"/>
      <c r="E393" s="22" t="str">
        <f t="shared" si="1"/>
        <v xml:space="preserve"> </v>
      </c>
    </row>
    <row r="394" spans="1:5" ht="12.3">
      <c r="A394" s="26"/>
      <c r="B394" s="23" t="str">
        <f>IF(ISBLANK(A394)," ",VLOOKUP(A394,'Product Database'!A:B,2,FALSE))</f>
        <v xml:space="preserve"> </v>
      </c>
      <c r="C394" s="24" t="str">
        <f>IF(ISBLANK(A394),"",SUMIF(Input!A:A,A394,Input!B:B))</f>
        <v/>
      </c>
      <c r="D394" s="25"/>
      <c r="E394" s="22" t="str">
        <f t="shared" si="1"/>
        <v xml:space="preserve"> </v>
      </c>
    </row>
    <row r="395" spans="1:5" ht="12.3">
      <c r="A395" s="26"/>
      <c r="B395" s="23" t="str">
        <f>IF(ISBLANK(A395)," ",VLOOKUP(A395,'Product Database'!A:B,2,FALSE))</f>
        <v xml:space="preserve"> </v>
      </c>
      <c r="C395" s="24" t="str">
        <f>IF(ISBLANK(A395),"",SUMIF(Input!A:A,A395,Input!B:B))</f>
        <v/>
      </c>
      <c r="D395" s="25"/>
      <c r="E395" s="22" t="str">
        <f t="shared" si="1"/>
        <v xml:space="preserve"> </v>
      </c>
    </row>
    <row r="396" spans="1:5" ht="12.3">
      <c r="A396" s="26"/>
      <c r="B396" s="23" t="str">
        <f>IF(ISBLANK(A396)," ",VLOOKUP(A396,'Product Database'!A:B,2,FALSE))</f>
        <v xml:space="preserve"> </v>
      </c>
      <c r="C396" s="24" t="str">
        <f>IF(ISBLANK(A396),"",SUMIF(Input!A:A,A396,Input!B:B))</f>
        <v/>
      </c>
      <c r="D396" s="25"/>
      <c r="E396" s="22" t="str">
        <f t="shared" si="1"/>
        <v xml:space="preserve"> </v>
      </c>
    </row>
    <row r="397" spans="1:5" ht="12.3">
      <c r="A397" s="26"/>
      <c r="B397" s="23" t="str">
        <f>IF(ISBLANK(A397)," ",VLOOKUP(A397,'Product Database'!A:B,2,FALSE))</f>
        <v xml:space="preserve"> </v>
      </c>
      <c r="C397" s="24" t="str">
        <f>IF(ISBLANK(A397),"",SUMIF(Input!A:A,A397,Input!B:B))</f>
        <v/>
      </c>
      <c r="D397" s="25"/>
      <c r="E397" s="22" t="str">
        <f t="shared" si="1"/>
        <v xml:space="preserve"> </v>
      </c>
    </row>
    <row r="398" spans="1:5" ht="12.3">
      <c r="A398" s="26"/>
      <c r="B398" s="23" t="str">
        <f>IF(ISBLANK(A398)," ",VLOOKUP(A398,'Product Database'!A:B,2,FALSE))</f>
        <v xml:space="preserve"> </v>
      </c>
      <c r="C398" s="24" t="str">
        <f>IF(ISBLANK(A398),"",SUMIF(Input!A:A,A398,Input!B:B))</f>
        <v/>
      </c>
      <c r="D398" s="25"/>
      <c r="E398" s="22" t="str">
        <f t="shared" si="1"/>
        <v xml:space="preserve"> </v>
      </c>
    </row>
    <row r="399" spans="1:5" ht="12.3">
      <c r="A399" s="26"/>
      <c r="B399" s="23" t="str">
        <f>IF(ISBLANK(A399)," ",VLOOKUP(A399,'Product Database'!A:B,2,FALSE))</f>
        <v xml:space="preserve"> </v>
      </c>
      <c r="C399" s="24" t="str">
        <f>IF(ISBLANK(A399),"",SUMIF(Input!A:A,A399,Input!B:B))</f>
        <v/>
      </c>
      <c r="D399" s="25"/>
      <c r="E399" s="22" t="str">
        <f t="shared" si="1"/>
        <v xml:space="preserve"> </v>
      </c>
    </row>
    <row r="400" spans="1:5" ht="12.3">
      <c r="A400" s="26"/>
      <c r="B400" s="23" t="str">
        <f>IF(ISBLANK(A400)," ",VLOOKUP(A400,'Product Database'!A:B,2,FALSE))</f>
        <v xml:space="preserve"> </v>
      </c>
      <c r="C400" s="24" t="str">
        <f>IF(ISBLANK(A400),"",SUMIF(Input!A:A,A400,Input!B:B))</f>
        <v/>
      </c>
      <c r="D400" s="25"/>
      <c r="E400" s="22" t="str">
        <f t="shared" si="1"/>
        <v xml:space="preserve"> </v>
      </c>
    </row>
    <row r="401" spans="1:5" ht="12.3">
      <c r="A401" s="26"/>
      <c r="B401" s="23" t="str">
        <f>IF(ISBLANK(A401)," ",VLOOKUP(A401,'Product Database'!A:B,2,FALSE))</f>
        <v xml:space="preserve"> </v>
      </c>
      <c r="C401" s="24" t="str">
        <f>IF(ISBLANK(A401),"",SUMIF(Input!A:A,A401,Input!B:B))</f>
        <v/>
      </c>
      <c r="D401" s="25"/>
      <c r="E401" s="22" t="str">
        <f t="shared" si="1"/>
        <v xml:space="preserve"> </v>
      </c>
    </row>
    <row r="402" spans="1:5" ht="12.3">
      <c r="A402" s="26"/>
      <c r="B402" s="23" t="str">
        <f>IF(ISBLANK(A402)," ",VLOOKUP(A402,'Product Database'!A:B,2,FALSE))</f>
        <v xml:space="preserve"> </v>
      </c>
      <c r="C402" s="24" t="str">
        <f>IF(ISBLANK(A402),"",SUMIF(Input!A:A,A402,Input!B:B))</f>
        <v/>
      </c>
      <c r="D402" s="25"/>
      <c r="E402" s="22" t="str">
        <f t="shared" si="1"/>
        <v xml:space="preserve"> </v>
      </c>
    </row>
    <row r="403" spans="1:5" ht="12.3">
      <c r="A403" s="26"/>
      <c r="B403" s="23" t="str">
        <f>IF(ISBLANK(A403)," ",VLOOKUP(A403,'Product Database'!A:B,2,FALSE))</f>
        <v xml:space="preserve"> </v>
      </c>
      <c r="C403" s="24" t="str">
        <f>IF(ISBLANK(A403),"",SUMIF(Input!A:A,A403,Input!B:B))</f>
        <v/>
      </c>
      <c r="D403" s="25"/>
      <c r="E403" s="22" t="str">
        <f t="shared" si="1"/>
        <v xml:space="preserve"> </v>
      </c>
    </row>
    <row r="404" spans="1:5" ht="12.3">
      <c r="A404" s="26"/>
      <c r="B404" s="23" t="str">
        <f>IF(ISBLANK(A404)," ",VLOOKUP(A404,'Product Database'!A:B,2,FALSE))</f>
        <v xml:space="preserve"> </v>
      </c>
      <c r="C404" s="24" t="str">
        <f>IF(ISBLANK(A404),"",SUMIF(Input!A:A,A404,Input!B:B))</f>
        <v/>
      </c>
      <c r="D404" s="25"/>
      <c r="E404" s="22" t="str">
        <f t="shared" si="1"/>
        <v xml:space="preserve"> </v>
      </c>
    </row>
    <row r="405" spans="1:5" ht="12.3">
      <c r="A405" s="26"/>
      <c r="B405" s="23" t="str">
        <f>IF(ISBLANK(A405)," ",VLOOKUP(A405,'Product Database'!A:B,2,FALSE))</f>
        <v xml:space="preserve"> </v>
      </c>
      <c r="C405" s="24" t="str">
        <f>IF(ISBLANK(A405),"",SUMIF(Input!A:A,A405,Input!B:B))</f>
        <v/>
      </c>
      <c r="D405" s="25"/>
      <c r="E405" s="22" t="str">
        <f t="shared" si="1"/>
        <v xml:space="preserve"> </v>
      </c>
    </row>
    <row r="406" spans="1:5" ht="12.3">
      <c r="A406" s="26"/>
      <c r="B406" s="23" t="str">
        <f>IF(ISBLANK(A406)," ",VLOOKUP(A406,'Product Database'!A:B,2,FALSE))</f>
        <v xml:space="preserve"> </v>
      </c>
      <c r="C406" s="24" t="str">
        <f>IF(ISBLANK(A406),"",SUMIF(Input!A:A,A406,Input!B:B))</f>
        <v/>
      </c>
      <c r="D406" s="25"/>
      <c r="E406" s="22" t="str">
        <f t="shared" si="1"/>
        <v xml:space="preserve"> </v>
      </c>
    </row>
    <row r="407" spans="1:5" ht="12.3">
      <c r="A407" s="26"/>
      <c r="B407" s="23" t="str">
        <f>IF(ISBLANK(A407)," ",VLOOKUP(A407,'Product Database'!A:B,2,FALSE))</f>
        <v xml:space="preserve"> </v>
      </c>
      <c r="C407" s="24" t="str">
        <f>IF(ISBLANK(A407),"",SUMIF(Input!A:A,A407,Input!B:B))</f>
        <v/>
      </c>
      <c r="D407" s="25"/>
      <c r="E407" s="22" t="str">
        <f t="shared" si="1"/>
        <v xml:space="preserve"> </v>
      </c>
    </row>
    <row r="408" spans="1:5" ht="12.3">
      <c r="A408" s="26"/>
      <c r="B408" s="23" t="str">
        <f>IF(ISBLANK(A408)," ",VLOOKUP(A408,'Product Database'!A:B,2,FALSE))</f>
        <v xml:space="preserve"> </v>
      </c>
      <c r="C408" s="24" t="str">
        <f>IF(ISBLANK(A408),"",SUMIF(Input!A:A,A408,Input!B:B))</f>
        <v/>
      </c>
      <c r="D408" s="25"/>
      <c r="E408" s="22" t="str">
        <f t="shared" si="1"/>
        <v xml:space="preserve"> </v>
      </c>
    </row>
    <row r="409" spans="1:5" ht="12.3">
      <c r="A409" s="26"/>
      <c r="B409" s="23" t="str">
        <f>IF(ISBLANK(A409)," ",VLOOKUP(A409,'Product Database'!A:B,2,FALSE))</f>
        <v xml:space="preserve"> </v>
      </c>
      <c r="C409" s="24" t="str">
        <f>IF(ISBLANK(A409),"",SUMIF(Input!A:A,A409,Input!B:B))</f>
        <v/>
      </c>
      <c r="D409" s="25"/>
      <c r="E409" s="22" t="str">
        <f t="shared" si="1"/>
        <v xml:space="preserve"> </v>
      </c>
    </row>
    <row r="410" spans="1:5" ht="12.3">
      <c r="A410" s="26"/>
      <c r="B410" s="23" t="str">
        <f>IF(ISBLANK(A410)," ",VLOOKUP(A410,'Product Database'!A:B,2,FALSE))</f>
        <v xml:space="preserve"> </v>
      </c>
      <c r="C410" s="24" t="str">
        <f>IF(ISBLANK(A410),"",SUMIF(Input!A:A,A410,Input!B:B))</f>
        <v/>
      </c>
      <c r="D410" s="25"/>
      <c r="E410" s="22" t="str">
        <f t="shared" si="1"/>
        <v xml:space="preserve"> </v>
      </c>
    </row>
    <row r="411" spans="1:5" ht="12.3">
      <c r="A411" s="26"/>
      <c r="B411" s="23" t="str">
        <f>IF(ISBLANK(A411)," ",VLOOKUP(A411,'Product Database'!A:B,2,FALSE))</f>
        <v xml:space="preserve"> </v>
      </c>
      <c r="C411" s="24" t="str">
        <f>IF(ISBLANK(A411),"",SUMIF(Input!A:A,A411,Input!B:B))</f>
        <v/>
      </c>
      <c r="D411" s="25"/>
      <c r="E411" s="22" t="str">
        <f t="shared" si="1"/>
        <v xml:space="preserve"> </v>
      </c>
    </row>
    <row r="412" spans="1:5" ht="12.3">
      <c r="A412" s="26"/>
      <c r="B412" s="23" t="str">
        <f>IF(ISBLANK(A412)," ",VLOOKUP(A412,'Product Database'!A:B,2,FALSE))</f>
        <v xml:space="preserve"> </v>
      </c>
      <c r="C412" s="24" t="str">
        <f>IF(ISBLANK(A412),"",SUMIF(Input!A:A,A412,Input!B:B))</f>
        <v/>
      </c>
      <c r="D412" s="25"/>
      <c r="E412" s="22" t="str">
        <f t="shared" si="1"/>
        <v xml:space="preserve"> </v>
      </c>
    </row>
    <row r="413" spans="1:5" ht="12.3">
      <c r="A413" s="26"/>
      <c r="B413" s="23" t="str">
        <f>IF(ISBLANK(A413)," ",VLOOKUP(A413,'Product Database'!A:B,2,FALSE))</f>
        <v xml:space="preserve"> </v>
      </c>
      <c r="C413" s="24" t="str">
        <f>IF(ISBLANK(A413),"",SUMIF(Input!A:A,A413,Input!B:B))</f>
        <v/>
      </c>
      <c r="D413" s="25"/>
      <c r="E413" s="22" t="str">
        <f t="shared" si="1"/>
        <v xml:space="preserve"> </v>
      </c>
    </row>
    <row r="414" spans="1:5" ht="12.3">
      <c r="A414" s="26"/>
      <c r="B414" s="23" t="str">
        <f>IF(ISBLANK(A414)," ",VLOOKUP(A414,'Product Database'!A:B,2,FALSE))</f>
        <v xml:space="preserve"> </v>
      </c>
      <c r="C414" s="24" t="str">
        <f>IF(ISBLANK(A414),"",SUMIF(Input!A:A,A414,Input!B:B))</f>
        <v/>
      </c>
      <c r="D414" s="25"/>
      <c r="E414" s="22" t="str">
        <f t="shared" si="1"/>
        <v xml:space="preserve"> </v>
      </c>
    </row>
    <row r="415" spans="1:5" ht="12.3">
      <c r="A415" s="26"/>
      <c r="B415" s="23" t="str">
        <f>IF(ISBLANK(A415)," ",VLOOKUP(A415,'Product Database'!A:B,2,FALSE))</f>
        <v xml:space="preserve"> </v>
      </c>
      <c r="C415" s="24" t="str">
        <f>IF(ISBLANK(A415),"",SUMIF(Input!A:A,A415,Input!B:B))</f>
        <v/>
      </c>
      <c r="D415" s="25"/>
      <c r="E415" s="22" t="str">
        <f t="shared" si="1"/>
        <v xml:space="preserve"> </v>
      </c>
    </row>
    <row r="416" spans="1:5" ht="12.3">
      <c r="A416" s="26"/>
      <c r="B416" s="23" t="str">
        <f>IF(ISBLANK(A416)," ",VLOOKUP(A416,'Product Database'!A:B,2,FALSE))</f>
        <v xml:space="preserve"> </v>
      </c>
      <c r="C416" s="24" t="str">
        <f>IF(ISBLANK(A416),"",SUMIF(Input!A:A,A416,Input!B:B))</f>
        <v/>
      </c>
      <c r="D416" s="25"/>
      <c r="E416" s="22" t="str">
        <f t="shared" si="1"/>
        <v xml:space="preserve"> </v>
      </c>
    </row>
    <row r="417" spans="1:5" ht="12.3">
      <c r="A417" s="26"/>
      <c r="B417" s="23" t="str">
        <f>IF(ISBLANK(A417)," ",VLOOKUP(A417,'Product Database'!A:B,2,FALSE))</f>
        <v xml:space="preserve"> </v>
      </c>
      <c r="C417" s="24" t="str">
        <f>IF(ISBLANK(A417),"",SUMIF(Input!A:A,A417,Input!B:B))</f>
        <v/>
      </c>
      <c r="D417" s="25"/>
      <c r="E417" s="22" t="str">
        <f t="shared" si="1"/>
        <v xml:space="preserve"> </v>
      </c>
    </row>
    <row r="418" spans="1:5" ht="12.3">
      <c r="A418" s="26"/>
      <c r="B418" s="23" t="str">
        <f>IF(ISBLANK(A418)," ",VLOOKUP(A418,'Product Database'!A:B,2,FALSE))</f>
        <v xml:space="preserve"> </v>
      </c>
      <c r="C418" s="24" t="str">
        <f>IF(ISBLANK(A418),"",SUMIF(Input!A:A,A418,Input!B:B))</f>
        <v/>
      </c>
      <c r="D418" s="25"/>
      <c r="E418" s="22" t="str">
        <f t="shared" si="1"/>
        <v xml:space="preserve"> </v>
      </c>
    </row>
    <row r="419" spans="1:5" ht="12.3">
      <c r="A419" s="26"/>
      <c r="B419" s="23" t="str">
        <f>IF(ISBLANK(A419)," ",VLOOKUP(A419,'Product Database'!A:B,2,FALSE))</f>
        <v xml:space="preserve"> </v>
      </c>
      <c r="C419" s="24" t="str">
        <f>IF(ISBLANK(A419),"",SUMIF(Input!A:A,A419,Input!B:B))</f>
        <v/>
      </c>
      <c r="D419" s="25"/>
      <c r="E419" s="22" t="str">
        <f t="shared" si="1"/>
        <v xml:space="preserve"> </v>
      </c>
    </row>
    <row r="420" spans="1:5" ht="12.3">
      <c r="A420" s="26"/>
      <c r="B420" s="23" t="str">
        <f>IF(ISBLANK(A420)," ",VLOOKUP(A420,'Product Database'!A:B,2,FALSE))</f>
        <v xml:space="preserve"> </v>
      </c>
      <c r="C420" s="24" t="str">
        <f>IF(ISBLANK(A420),"",SUMIF(Input!A:A,A420,Input!B:B))</f>
        <v/>
      </c>
      <c r="D420" s="25"/>
      <c r="E420" s="22" t="str">
        <f t="shared" si="1"/>
        <v xml:space="preserve"> </v>
      </c>
    </row>
    <row r="421" spans="1:5" ht="12.3">
      <c r="A421" s="26"/>
      <c r="B421" s="23" t="str">
        <f>IF(ISBLANK(A421)," ",VLOOKUP(A421,'Product Database'!A:B,2,FALSE))</f>
        <v xml:space="preserve"> </v>
      </c>
      <c r="C421" s="24" t="str">
        <f>IF(ISBLANK(A421),"",SUMIF(Input!A:A,A421,Input!B:B))</f>
        <v/>
      </c>
      <c r="D421" s="25"/>
      <c r="E421" s="22" t="str">
        <f t="shared" si="1"/>
        <v xml:space="preserve"> </v>
      </c>
    </row>
    <row r="422" spans="1:5" ht="12.3">
      <c r="A422" s="26"/>
      <c r="B422" s="23" t="str">
        <f>IF(ISBLANK(A422)," ",VLOOKUP(A422,'Product Database'!A:B,2,FALSE))</f>
        <v xml:space="preserve"> </v>
      </c>
      <c r="C422" s="24" t="str">
        <f>IF(ISBLANK(A422),"",SUMIF(Input!A:A,A422,Input!B:B))</f>
        <v/>
      </c>
      <c r="D422" s="25"/>
      <c r="E422" s="22" t="str">
        <f t="shared" si="1"/>
        <v xml:space="preserve"> </v>
      </c>
    </row>
    <row r="423" spans="1:5" ht="12.3">
      <c r="A423" s="26"/>
      <c r="B423" s="23" t="str">
        <f>IF(ISBLANK(A423)," ",VLOOKUP(A423,'Product Database'!A:B,2,FALSE))</f>
        <v xml:space="preserve"> </v>
      </c>
      <c r="C423" s="24" t="str">
        <f>IF(ISBLANK(A423),"",SUMIF(Input!A:A,A423,Input!B:B))</f>
        <v/>
      </c>
      <c r="D423" s="25"/>
      <c r="E423" s="22" t="str">
        <f t="shared" si="1"/>
        <v xml:space="preserve"> </v>
      </c>
    </row>
    <row r="424" spans="1:5" ht="12.3">
      <c r="A424" s="26"/>
      <c r="B424" s="23" t="str">
        <f>IF(ISBLANK(A424)," ",VLOOKUP(A424,'Product Database'!A:B,2,FALSE))</f>
        <v xml:space="preserve"> </v>
      </c>
      <c r="C424" s="24" t="str">
        <f>IF(ISBLANK(A424),"",SUMIF(Input!A:A,A424,Input!B:B))</f>
        <v/>
      </c>
      <c r="D424" s="25"/>
      <c r="E424" s="22" t="str">
        <f t="shared" si="1"/>
        <v xml:space="preserve"> </v>
      </c>
    </row>
    <row r="425" spans="1:5" ht="12.3">
      <c r="A425" s="26"/>
      <c r="B425" s="23" t="str">
        <f>IF(ISBLANK(A425)," ",VLOOKUP(A425,'Product Database'!A:B,2,FALSE))</f>
        <v xml:space="preserve"> </v>
      </c>
      <c r="C425" s="24" t="str">
        <f>IF(ISBLANK(A425),"",SUMIF(Input!A:A,A425,Input!B:B))</f>
        <v/>
      </c>
      <c r="D425" s="25"/>
      <c r="E425" s="22" t="str">
        <f t="shared" si="1"/>
        <v xml:space="preserve"> </v>
      </c>
    </row>
    <row r="426" spans="1:5" ht="12.3">
      <c r="A426" s="26"/>
      <c r="B426" s="23" t="str">
        <f>IF(ISBLANK(A426)," ",VLOOKUP(A426,'Product Database'!A:B,2,FALSE))</f>
        <v xml:space="preserve"> </v>
      </c>
      <c r="C426" s="24" t="str">
        <f>IF(ISBLANK(A426),"",SUMIF(Input!A:A,A426,Input!B:B))</f>
        <v/>
      </c>
      <c r="D426" s="25"/>
      <c r="E426" s="22" t="str">
        <f t="shared" si="1"/>
        <v xml:space="preserve"> </v>
      </c>
    </row>
    <row r="427" spans="1:5" ht="12.3">
      <c r="A427" s="26"/>
      <c r="B427" s="23" t="str">
        <f>IF(ISBLANK(A427)," ",VLOOKUP(A427,'Product Database'!A:B,2,FALSE))</f>
        <v xml:space="preserve"> </v>
      </c>
      <c r="C427" s="24" t="str">
        <f>IF(ISBLANK(A427),"",SUMIF(Input!A:A,A427,Input!B:B))</f>
        <v/>
      </c>
      <c r="D427" s="25"/>
      <c r="E427" s="22" t="str">
        <f t="shared" si="1"/>
        <v xml:space="preserve"> </v>
      </c>
    </row>
    <row r="428" spans="1:5" ht="12.3">
      <c r="A428" s="26"/>
      <c r="B428" s="23" t="str">
        <f>IF(ISBLANK(A428)," ",VLOOKUP(A428,'Product Database'!A:B,2,FALSE))</f>
        <v xml:space="preserve"> </v>
      </c>
      <c r="C428" s="24" t="str">
        <f>IF(ISBLANK(A428),"",SUMIF(Input!A:A,A428,Input!B:B))</f>
        <v/>
      </c>
      <c r="D428" s="25"/>
      <c r="E428" s="22" t="str">
        <f t="shared" si="1"/>
        <v xml:space="preserve"> </v>
      </c>
    </row>
    <row r="429" spans="1:5" ht="12.3">
      <c r="A429" s="26"/>
      <c r="B429" s="23" t="str">
        <f>IF(ISBLANK(A429)," ",VLOOKUP(A429,'Product Database'!A:B,2,FALSE))</f>
        <v xml:space="preserve"> </v>
      </c>
      <c r="C429" s="24" t="str">
        <f>IF(ISBLANK(A429),"",SUMIF(Input!A:A,A429,Input!B:B))</f>
        <v/>
      </c>
      <c r="D429" s="25"/>
      <c r="E429" s="22" t="str">
        <f t="shared" si="1"/>
        <v xml:space="preserve"> </v>
      </c>
    </row>
    <row r="430" spans="1:5" ht="12.3">
      <c r="A430" s="26"/>
      <c r="B430" s="23" t="str">
        <f>IF(ISBLANK(A430)," ",VLOOKUP(A430,'Product Database'!A:B,2,FALSE))</f>
        <v xml:space="preserve"> </v>
      </c>
      <c r="C430" s="24" t="str">
        <f>IF(ISBLANK(A430),"",SUMIF(Input!A:A,A430,Input!B:B))</f>
        <v/>
      </c>
      <c r="D430" s="25"/>
      <c r="E430" s="22" t="str">
        <f t="shared" si="1"/>
        <v xml:space="preserve"> </v>
      </c>
    </row>
    <row r="431" spans="1:5" ht="12.3">
      <c r="A431" s="26"/>
      <c r="B431" s="23" t="str">
        <f>IF(ISBLANK(A431)," ",VLOOKUP(A431,'Product Database'!A:B,2,FALSE))</f>
        <v xml:space="preserve"> </v>
      </c>
      <c r="C431" s="24" t="str">
        <f>IF(ISBLANK(A431),"",SUMIF(Input!A:A,A431,Input!B:B))</f>
        <v/>
      </c>
      <c r="D431" s="25"/>
      <c r="E431" s="22" t="str">
        <f t="shared" si="1"/>
        <v xml:space="preserve"> </v>
      </c>
    </row>
    <row r="432" spans="1:5" ht="12.3">
      <c r="A432" s="26"/>
      <c r="B432" s="23" t="str">
        <f>IF(ISBLANK(A432)," ",VLOOKUP(A432,'Product Database'!A:B,2,FALSE))</f>
        <v xml:space="preserve"> </v>
      </c>
      <c r="C432" s="24" t="str">
        <f>IF(ISBLANK(A432),"",SUMIF(Input!A:A,A432,Input!B:B))</f>
        <v/>
      </c>
      <c r="D432" s="25"/>
      <c r="E432" s="22" t="str">
        <f t="shared" si="1"/>
        <v xml:space="preserve"> </v>
      </c>
    </row>
    <row r="433" spans="1:5" ht="12.3">
      <c r="A433" s="26"/>
      <c r="B433" s="23" t="str">
        <f>IF(ISBLANK(A433)," ",VLOOKUP(A433,'Product Database'!A:B,2,FALSE))</f>
        <v xml:space="preserve"> </v>
      </c>
      <c r="C433" s="24" t="str">
        <f>IF(ISBLANK(A433),"",SUMIF(Input!A:A,A433,Input!B:B))</f>
        <v/>
      </c>
      <c r="D433" s="25"/>
      <c r="E433" s="22" t="str">
        <f t="shared" si="1"/>
        <v xml:space="preserve"> </v>
      </c>
    </row>
    <row r="434" spans="1:5" ht="12.3">
      <c r="A434" s="26"/>
      <c r="B434" s="23" t="str">
        <f>IF(ISBLANK(A434)," ",VLOOKUP(A434,'Product Database'!A:B,2,FALSE))</f>
        <v xml:space="preserve"> </v>
      </c>
      <c r="C434" s="24" t="str">
        <f>IF(ISBLANK(A434),"",SUMIF(Input!A:A,A434,Input!B:B))</f>
        <v/>
      </c>
      <c r="D434" s="25"/>
      <c r="E434" s="22" t="str">
        <f t="shared" si="1"/>
        <v xml:space="preserve"> </v>
      </c>
    </row>
    <row r="435" spans="1:5" ht="12.3">
      <c r="A435" s="26"/>
      <c r="B435" s="23" t="str">
        <f>IF(ISBLANK(A435)," ",VLOOKUP(A435,'Product Database'!A:B,2,FALSE))</f>
        <v xml:space="preserve"> </v>
      </c>
      <c r="C435" s="24" t="str">
        <f>IF(ISBLANK(A435),"",SUMIF(Input!A:A,A435,Input!B:B))</f>
        <v/>
      </c>
      <c r="D435" s="25"/>
      <c r="E435" s="22" t="str">
        <f t="shared" si="1"/>
        <v xml:space="preserve"> </v>
      </c>
    </row>
    <row r="436" spans="1:5" ht="12.3">
      <c r="A436" s="26"/>
      <c r="B436" s="23" t="str">
        <f>IF(ISBLANK(A436)," ",VLOOKUP(A436,'Product Database'!A:B,2,FALSE))</f>
        <v xml:space="preserve"> </v>
      </c>
      <c r="C436" s="24" t="str">
        <f>IF(ISBLANK(A436),"",SUMIF(Input!A:A,A436,Input!B:B))</f>
        <v/>
      </c>
      <c r="D436" s="25"/>
      <c r="E436" s="22" t="str">
        <f t="shared" si="1"/>
        <v xml:space="preserve"> </v>
      </c>
    </row>
    <row r="437" spans="1:5" ht="12.3">
      <c r="A437" s="26"/>
      <c r="B437" s="23" t="str">
        <f>IF(ISBLANK(A437)," ",VLOOKUP(A437,'Product Database'!A:B,2,FALSE))</f>
        <v xml:space="preserve"> </v>
      </c>
      <c r="C437" s="24" t="str">
        <f>IF(ISBLANK(A437),"",SUMIF(Input!A:A,A437,Input!B:B))</f>
        <v/>
      </c>
      <c r="D437" s="25"/>
      <c r="E437" s="22" t="str">
        <f t="shared" si="1"/>
        <v xml:space="preserve"> </v>
      </c>
    </row>
    <row r="438" spans="1:5" ht="12.3">
      <c r="A438" s="26"/>
      <c r="B438" s="23" t="str">
        <f>IF(ISBLANK(A438)," ",VLOOKUP(A438,'Product Database'!A:B,2,FALSE))</f>
        <v xml:space="preserve"> </v>
      </c>
      <c r="C438" s="24" t="str">
        <f>IF(ISBLANK(A438),"",SUMIF(Input!A:A,A438,Input!B:B))</f>
        <v/>
      </c>
      <c r="D438" s="25"/>
      <c r="E438" s="22" t="str">
        <f t="shared" si="1"/>
        <v xml:space="preserve"> </v>
      </c>
    </row>
    <row r="439" spans="1:5" ht="12.3">
      <c r="A439" s="26"/>
      <c r="B439" s="23" t="str">
        <f>IF(ISBLANK(A439)," ",VLOOKUP(A439,'Product Database'!A:B,2,FALSE))</f>
        <v xml:space="preserve"> </v>
      </c>
      <c r="C439" s="24" t="str">
        <f>IF(ISBLANK(A439),"",SUMIF(Input!A:A,A439,Input!B:B))</f>
        <v/>
      </c>
      <c r="D439" s="25"/>
      <c r="E439" s="22" t="str">
        <f t="shared" si="1"/>
        <v xml:space="preserve"> </v>
      </c>
    </row>
    <row r="440" spans="1:5" ht="12.3">
      <c r="A440" s="26"/>
      <c r="B440" s="23" t="str">
        <f>IF(ISBLANK(A440)," ",VLOOKUP(A440,'Product Database'!A:B,2,FALSE))</f>
        <v xml:space="preserve"> </v>
      </c>
      <c r="C440" s="24" t="str">
        <f>IF(ISBLANK(A440),"",SUMIF(Input!A:A,A440,Input!B:B))</f>
        <v/>
      </c>
      <c r="D440" s="25"/>
      <c r="E440" s="22" t="str">
        <f t="shared" si="1"/>
        <v xml:space="preserve"> </v>
      </c>
    </row>
    <row r="441" spans="1:5" ht="12.3">
      <c r="A441" s="26"/>
      <c r="B441" s="23" t="str">
        <f>IF(ISBLANK(A441)," ",VLOOKUP(A441,'Product Database'!A:B,2,FALSE))</f>
        <v xml:space="preserve"> </v>
      </c>
      <c r="C441" s="24" t="str">
        <f>IF(ISBLANK(A441),"",SUMIF(Input!A:A,A441,Input!B:B))</f>
        <v/>
      </c>
      <c r="D441" s="25"/>
      <c r="E441" s="22" t="str">
        <f t="shared" si="1"/>
        <v xml:space="preserve"> </v>
      </c>
    </row>
    <row r="442" spans="1:5" ht="12.3">
      <c r="A442" s="26"/>
      <c r="B442" s="23" t="str">
        <f>IF(ISBLANK(A442)," ",VLOOKUP(A442,'Product Database'!A:B,2,FALSE))</f>
        <v xml:space="preserve"> </v>
      </c>
      <c r="C442" s="24" t="str">
        <f>IF(ISBLANK(A442),"",SUMIF(Input!A:A,A442,Input!B:B))</f>
        <v/>
      </c>
      <c r="D442" s="25"/>
      <c r="E442" s="22" t="str">
        <f t="shared" si="1"/>
        <v xml:space="preserve"> </v>
      </c>
    </row>
    <row r="443" spans="1:5" ht="12.3">
      <c r="A443" s="26"/>
      <c r="B443" s="23" t="str">
        <f>IF(ISBLANK(A443)," ",VLOOKUP(A443,'Product Database'!A:B,2,FALSE))</f>
        <v xml:space="preserve"> </v>
      </c>
      <c r="C443" s="24" t="str">
        <f>IF(ISBLANK(A443),"",SUMIF(Input!A:A,A443,Input!B:B))</f>
        <v/>
      </c>
      <c r="D443" s="25"/>
      <c r="E443" s="22" t="str">
        <f t="shared" si="1"/>
        <v xml:space="preserve"> </v>
      </c>
    </row>
    <row r="444" spans="1:5" ht="12.3">
      <c r="A444" s="26"/>
      <c r="B444" s="23" t="str">
        <f>IF(ISBLANK(A444)," ",VLOOKUP(A444,'Product Database'!A:B,2,FALSE))</f>
        <v xml:space="preserve"> </v>
      </c>
      <c r="C444" s="24" t="str">
        <f>IF(ISBLANK(A444),"",SUMIF(Input!A:A,A444,Input!B:B))</f>
        <v/>
      </c>
      <c r="D444" s="25"/>
      <c r="E444" s="22" t="str">
        <f t="shared" si="1"/>
        <v xml:space="preserve"> </v>
      </c>
    </row>
    <row r="445" spans="1:5" ht="12.3">
      <c r="A445" s="26"/>
      <c r="B445" s="23" t="str">
        <f>IF(ISBLANK(A445)," ",VLOOKUP(A445,'Product Database'!A:B,2,FALSE))</f>
        <v xml:space="preserve"> </v>
      </c>
      <c r="C445" s="24" t="str">
        <f>IF(ISBLANK(A445),"",SUMIF(Input!A:A,A445,Input!B:B))</f>
        <v/>
      </c>
      <c r="D445" s="25"/>
      <c r="E445" s="22" t="str">
        <f t="shared" si="1"/>
        <v xml:space="preserve"> </v>
      </c>
    </row>
    <row r="446" spans="1:5" ht="12.3">
      <c r="A446" s="26"/>
      <c r="B446" s="23" t="str">
        <f>IF(ISBLANK(A446)," ",VLOOKUP(A446,'Product Database'!A:B,2,FALSE))</f>
        <v xml:space="preserve"> </v>
      </c>
      <c r="C446" s="24" t="str">
        <f>IF(ISBLANK(A446),"",SUMIF(Input!A:A,A446,Input!B:B))</f>
        <v/>
      </c>
      <c r="D446" s="25"/>
      <c r="E446" s="22" t="str">
        <f t="shared" si="1"/>
        <v xml:space="preserve"> </v>
      </c>
    </row>
    <row r="447" spans="1:5" ht="12.3">
      <c r="A447" s="26"/>
      <c r="B447" s="23" t="str">
        <f>IF(ISBLANK(A447)," ",VLOOKUP(A447,'Product Database'!A:B,2,FALSE))</f>
        <v xml:space="preserve"> </v>
      </c>
      <c r="C447" s="24" t="str">
        <f>IF(ISBLANK(A447),"",SUMIF(Input!A:A,A447,Input!B:B))</f>
        <v/>
      </c>
      <c r="D447" s="25"/>
      <c r="E447" s="22" t="str">
        <f t="shared" si="1"/>
        <v xml:space="preserve"> </v>
      </c>
    </row>
    <row r="448" spans="1:5" ht="12.3">
      <c r="A448" s="26"/>
      <c r="B448" s="23" t="str">
        <f>IF(ISBLANK(A448)," ",VLOOKUP(A448,'Product Database'!A:B,2,FALSE))</f>
        <v xml:space="preserve"> </v>
      </c>
      <c r="C448" s="24" t="str">
        <f>IF(ISBLANK(A448),"",SUMIF(Input!A:A,A448,Input!B:B))</f>
        <v/>
      </c>
      <c r="D448" s="25"/>
      <c r="E448" s="22" t="str">
        <f t="shared" si="1"/>
        <v xml:space="preserve"> </v>
      </c>
    </row>
    <row r="449" spans="1:5" ht="12.3">
      <c r="A449" s="26"/>
      <c r="B449" s="23" t="str">
        <f>IF(ISBLANK(A449)," ",VLOOKUP(A449,'Product Database'!A:B,2,FALSE))</f>
        <v xml:space="preserve"> </v>
      </c>
      <c r="C449" s="24" t="str">
        <f>IF(ISBLANK(A449),"",SUMIF(Input!A:A,A449,Input!B:B))</f>
        <v/>
      </c>
      <c r="D449" s="25"/>
      <c r="E449" s="22" t="str">
        <f t="shared" si="1"/>
        <v xml:space="preserve"> </v>
      </c>
    </row>
    <row r="450" spans="1:5" ht="12.3">
      <c r="A450" s="26"/>
      <c r="B450" s="23" t="str">
        <f>IF(ISBLANK(A450)," ",VLOOKUP(A450,'Product Database'!A:B,2,FALSE))</f>
        <v xml:space="preserve"> </v>
      </c>
      <c r="C450" s="24" t="str">
        <f>IF(ISBLANK(A450),"",SUMIF(Input!A:A,A450,Input!B:B))</f>
        <v/>
      </c>
      <c r="D450" s="25"/>
      <c r="E450" s="22" t="str">
        <f t="shared" si="1"/>
        <v xml:space="preserve"> </v>
      </c>
    </row>
    <row r="451" spans="1:5" ht="12.3">
      <c r="A451" s="26"/>
      <c r="B451" s="23" t="str">
        <f>IF(ISBLANK(A451)," ",VLOOKUP(A451,'Product Database'!A:B,2,FALSE))</f>
        <v xml:space="preserve"> </v>
      </c>
      <c r="C451" s="24" t="str">
        <f>IF(ISBLANK(A451),"",SUMIF(Input!A:A,A451,Input!B:B))</f>
        <v/>
      </c>
      <c r="D451" s="25"/>
      <c r="E451" s="22" t="str">
        <f t="shared" si="1"/>
        <v xml:space="preserve"> </v>
      </c>
    </row>
    <row r="452" spans="1:5" ht="12.3">
      <c r="A452" s="26"/>
      <c r="B452" s="23" t="str">
        <f>IF(ISBLANK(A452)," ",VLOOKUP(A452,'Product Database'!A:B,2,FALSE))</f>
        <v xml:space="preserve"> </v>
      </c>
      <c r="C452" s="24" t="str">
        <f>IF(ISBLANK(A452),"",SUMIF(Input!A:A,A452,Input!B:B))</f>
        <v/>
      </c>
      <c r="D452" s="25"/>
      <c r="E452" s="22" t="str">
        <f t="shared" si="1"/>
        <v xml:space="preserve"> </v>
      </c>
    </row>
    <row r="453" spans="1:5" ht="12.3">
      <c r="A453" s="26"/>
      <c r="B453" s="23" t="str">
        <f>IF(ISBLANK(A453)," ",VLOOKUP(A453,'Product Database'!A:B,2,FALSE))</f>
        <v xml:space="preserve"> </v>
      </c>
      <c r="C453" s="24" t="str">
        <f>IF(ISBLANK(A453),"",SUMIF(Input!A:A,A453,Input!B:B))</f>
        <v/>
      </c>
      <c r="D453" s="25"/>
      <c r="E453" s="22" t="str">
        <f t="shared" si="1"/>
        <v xml:space="preserve"> </v>
      </c>
    </row>
    <row r="454" spans="1:5" ht="12.3">
      <c r="A454" s="26"/>
      <c r="B454" s="23" t="str">
        <f>IF(ISBLANK(A454)," ",VLOOKUP(A454,'Product Database'!A:B,2,FALSE))</f>
        <v xml:space="preserve"> </v>
      </c>
      <c r="C454" s="24" t="str">
        <f>IF(ISBLANK(A454),"",SUMIF(Input!A:A,A454,Input!B:B))</f>
        <v/>
      </c>
      <c r="D454" s="25"/>
      <c r="E454" s="22" t="str">
        <f t="shared" si="1"/>
        <v xml:space="preserve"> </v>
      </c>
    </row>
    <row r="455" spans="1:5" ht="12.3">
      <c r="A455" s="26"/>
      <c r="B455" s="23" t="str">
        <f>IF(ISBLANK(A455)," ",VLOOKUP(A455,'Product Database'!A:B,2,FALSE))</f>
        <v xml:space="preserve"> </v>
      </c>
      <c r="C455" s="24" t="str">
        <f>IF(ISBLANK(A455),"",SUMIF(Input!A:A,A455,Input!B:B))</f>
        <v/>
      </c>
      <c r="D455" s="25"/>
      <c r="E455" s="22" t="str">
        <f t="shared" si="1"/>
        <v xml:space="preserve"> </v>
      </c>
    </row>
    <row r="456" spans="1:5" ht="12.3">
      <c r="A456" s="26"/>
      <c r="B456" s="23" t="str">
        <f>IF(ISBLANK(A456)," ",VLOOKUP(A456,'Product Database'!A:B,2,FALSE))</f>
        <v xml:space="preserve"> </v>
      </c>
      <c r="C456" s="24" t="str">
        <f>IF(ISBLANK(A456),"",SUMIF(Input!A:A,A456,Input!B:B))</f>
        <v/>
      </c>
      <c r="D456" s="25"/>
      <c r="E456" s="22" t="str">
        <f t="shared" si="1"/>
        <v xml:space="preserve"> </v>
      </c>
    </row>
    <row r="457" spans="1:5" ht="12.3">
      <c r="A457" s="26"/>
      <c r="B457" s="23" t="str">
        <f>IF(ISBLANK(A457)," ",VLOOKUP(A457,'Product Database'!A:B,2,FALSE))</f>
        <v xml:space="preserve"> </v>
      </c>
      <c r="C457" s="24" t="str">
        <f>IF(ISBLANK(A457),"",SUMIF(Input!A:A,A457,Input!B:B))</f>
        <v/>
      </c>
      <c r="D457" s="25"/>
      <c r="E457" s="22" t="str">
        <f t="shared" si="1"/>
        <v xml:space="preserve"> </v>
      </c>
    </row>
    <row r="458" spans="1:5" ht="12.3">
      <c r="A458" s="26"/>
      <c r="B458" s="23" t="str">
        <f>IF(ISBLANK(A458)," ",VLOOKUP(A458,'Product Database'!A:B,2,FALSE))</f>
        <v xml:space="preserve"> </v>
      </c>
      <c r="C458" s="24" t="str">
        <f>IF(ISBLANK(A458),"",SUMIF(Input!A:A,A458,Input!B:B))</f>
        <v/>
      </c>
      <c r="D458" s="25"/>
      <c r="E458" s="22" t="str">
        <f t="shared" si="1"/>
        <v xml:space="preserve"> </v>
      </c>
    </row>
    <row r="459" spans="1:5" ht="12.3">
      <c r="A459" s="26"/>
      <c r="B459" s="23" t="str">
        <f>IF(ISBLANK(A459)," ",VLOOKUP(A459,'Product Database'!A:B,2,FALSE))</f>
        <v xml:space="preserve"> </v>
      </c>
      <c r="C459" s="24" t="str">
        <f>IF(ISBLANK(A459),"",SUMIF(Input!A:A,A459,Input!B:B))</f>
        <v/>
      </c>
      <c r="D459" s="25"/>
      <c r="E459" s="22" t="str">
        <f t="shared" si="1"/>
        <v xml:space="preserve"> </v>
      </c>
    </row>
    <row r="460" spans="1:5" ht="12.3">
      <c r="A460" s="26"/>
      <c r="B460" s="23" t="str">
        <f>IF(ISBLANK(A460)," ",VLOOKUP(A460,'Product Database'!A:B,2,FALSE))</f>
        <v xml:space="preserve"> </v>
      </c>
      <c r="C460" s="24" t="str">
        <f>IF(ISBLANK(A460),"",SUMIF(Input!A:A,A460,Input!B:B))</f>
        <v/>
      </c>
      <c r="D460" s="25"/>
      <c r="E460" s="22" t="str">
        <f t="shared" si="1"/>
        <v xml:space="preserve"> </v>
      </c>
    </row>
    <row r="461" spans="1:5" ht="12.3">
      <c r="A461" s="26"/>
      <c r="B461" s="23" t="str">
        <f>IF(ISBLANK(A461)," ",VLOOKUP(A461,'Product Database'!A:B,2,FALSE))</f>
        <v xml:space="preserve"> </v>
      </c>
      <c r="C461" s="24" t="str">
        <f>IF(ISBLANK(A461),"",SUMIF(Input!A:A,A461,Input!B:B))</f>
        <v/>
      </c>
      <c r="D461" s="25"/>
      <c r="E461" s="22" t="str">
        <f t="shared" si="1"/>
        <v xml:space="preserve"> </v>
      </c>
    </row>
    <row r="462" spans="1:5" ht="12.3">
      <c r="A462" s="26"/>
      <c r="B462" s="23" t="str">
        <f>IF(ISBLANK(A462)," ",VLOOKUP(A462,'Product Database'!A:B,2,FALSE))</f>
        <v xml:space="preserve"> </v>
      </c>
      <c r="C462" s="24" t="str">
        <f>IF(ISBLANK(A462),"",SUMIF(Input!A:A,A462,Input!B:B))</f>
        <v/>
      </c>
      <c r="D462" s="25"/>
      <c r="E462" s="22" t="str">
        <f t="shared" si="1"/>
        <v xml:space="preserve"> </v>
      </c>
    </row>
    <row r="463" spans="1:5" ht="12.3">
      <c r="A463" s="26"/>
      <c r="B463" s="23" t="str">
        <f>IF(ISBLANK(A463)," ",VLOOKUP(A463,'Product Database'!A:B,2,FALSE))</f>
        <v xml:space="preserve"> </v>
      </c>
      <c r="C463" s="24" t="str">
        <f>IF(ISBLANK(A463),"",SUMIF(Input!A:A,A463,Input!B:B))</f>
        <v/>
      </c>
      <c r="D463" s="25"/>
      <c r="E463" s="22" t="str">
        <f t="shared" si="1"/>
        <v xml:space="preserve"> </v>
      </c>
    </row>
    <row r="464" spans="1:5" ht="12.3">
      <c r="A464" s="26"/>
      <c r="B464" s="23" t="str">
        <f>IF(ISBLANK(A464)," ",VLOOKUP(A464,'Product Database'!A:B,2,FALSE))</f>
        <v xml:space="preserve"> </v>
      </c>
      <c r="C464" s="24" t="str">
        <f>IF(ISBLANK(A464),"",SUMIF(Input!A:A,A464,Input!B:B))</f>
        <v/>
      </c>
      <c r="D464" s="25"/>
      <c r="E464" s="22" t="str">
        <f t="shared" si="1"/>
        <v xml:space="preserve"> </v>
      </c>
    </row>
    <row r="465" spans="1:5" ht="12.3">
      <c r="A465" s="26"/>
      <c r="B465" s="23" t="str">
        <f>IF(ISBLANK(A465)," ",VLOOKUP(A465,'Product Database'!A:B,2,FALSE))</f>
        <v xml:space="preserve"> </v>
      </c>
      <c r="C465" s="24" t="str">
        <f>IF(ISBLANK(A465),"",SUMIF(Input!A:A,A465,Input!B:B))</f>
        <v/>
      </c>
      <c r="D465" s="25"/>
      <c r="E465" s="22" t="str">
        <f t="shared" si="1"/>
        <v xml:space="preserve"> </v>
      </c>
    </row>
    <row r="466" spans="1:5" ht="12.3">
      <c r="A466" s="26"/>
      <c r="B466" s="23" t="str">
        <f>IF(ISBLANK(A466)," ",VLOOKUP(A466,'Product Database'!A:B,2,FALSE))</f>
        <v xml:space="preserve"> </v>
      </c>
      <c r="C466" s="24" t="str">
        <f>IF(ISBLANK(A466),"",SUMIF(Input!A:A,A466,Input!B:B))</f>
        <v/>
      </c>
      <c r="D466" s="25"/>
      <c r="E466" s="22" t="str">
        <f t="shared" si="1"/>
        <v xml:space="preserve"> </v>
      </c>
    </row>
    <row r="467" spans="1:5" ht="12.3">
      <c r="A467" s="26"/>
      <c r="B467" s="23" t="str">
        <f>IF(ISBLANK(A467)," ",VLOOKUP(A467,'Product Database'!A:B,2,FALSE))</f>
        <v xml:space="preserve"> </v>
      </c>
      <c r="C467" s="24" t="str">
        <f>IF(ISBLANK(A467),"",SUMIF(Input!A:A,A467,Input!B:B))</f>
        <v/>
      </c>
      <c r="D467" s="25"/>
      <c r="E467" s="22" t="str">
        <f t="shared" si="1"/>
        <v xml:space="preserve"> </v>
      </c>
    </row>
    <row r="468" spans="1:5" ht="12.3">
      <c r="A468" s="26"/>
      <c r="B468" s="23" t="str">
        <f>IF(ISBLANK(A468)," ",VLOOKUP(A468,'Product Database'!A:B,2,FALSE))</f>
        <v xml:space="preserve"> </v>
      </c>
      <c r="C468" s="24" t="str">
        <f>IF(ISBLANK(A468),"",SUMIF(Input!A:A,A468,Input!B:B))</f>
        <v/>
      </c>
      <c r="D468" s="25"/>
      <c r="E468" s="22" t="str">
        <f t="shared" si="1"/>
        <v xml:space="preserve"> </v>
      </c>
    </row>
    <row r="469" spans="1:5" ht="12.3">
      <c r="A469" s="26"/>
      <c r="B469" s="23" t="str">
        <f>IF(ISBLANK(A469)," ",VLOOKUP(A469,'Product Database'!A:B,2,FALSE))</f>
        <v xml:space="preserve"> </v>
      </c>
      <c r="C469" s="24" t="str">
        <f>IF(ISBLANK(A469),"",SUMIF(Input!A:A,A469,Input!B:B))</f>
        <v/>
      </c>
      <c r="D469" s="25"/>
      <c r="E469" s="22" t="str">
        <f t="shared" si="1"/>
        <v xml:space="preserve"> </v>
      </c>
    </row>
    <row r="470" spans="1:5" ht="12.3">
      <c r="A470" s="26"/>
      <c r="B470" s="23" t="str">
        <f>IF(ISBLANK(A470)," ",VLOOKUP(A470,'Product Database'!A:B,2,FALSE))</f>
        <v xml:space="preserve"> </v>
      </c>
      <c r="C470" s="24" t="str">
        <f>IF(ISBLANK(A470),"",SUMIF(Input!A:A,A470,Input!B:B))</f>
        <v/>
      </c>
      <c r="D470" s="25"/>
      <c r="E470" s="22" t="str">
        <f t="shared" si="1"/>
        <v xml:space="preserve"> </v>
      </c>
    </row>
    <row r="471" spans="1:5" ht="12.3">
      <c r="A471" s="26"/>
      <c r="B471" s="23" t="str">
        <f>IF(ISBLANK(A471)," ",VLOOKUP(A471,'Product Database'!A:B,2,FALSE))</f>
        <v xml:space="preserve"> </v>
      </c>
      <c r="C471" s="24" t="str">
        <f>IF(ISBLANK(A471),"",SUMIF(Input!A:A,A471,Input!B:B))</f>
        <v/>
      </c>
      <c r="D471" s="25"/>
      <c r="E471" s="22" t="str">
        <f t="shared" si="1"/>
        <v xml:space="preserve"> </v>
      </c>
    </row>
    <row r="472" spans="1:5" ht="12.3">
      <c r="A472" s="26"/>
      <c r="B472" s="23" t="str">
        <f>IF(ISBLANK(A472)," ",VLOOKUP(A472,'Product Database'!A:B,2,FALSE))</f>
        <v xml:space="preserve"> </v>
      </c>
      <c r="C472" s="24" t="str">
        <f>IF(ISBLANK(A472),"",SUMIF(Input!A:A,A472,Input!B:B))</f>
        <v/>
      </c>
      <c r="D472" s="25"/>
      <c r="E472" s="22" t="str">
        <f t="shared" si="1"/>
        <v xml:space="preserve"> </v>
      </c>
    </row>
    <row r="473" spans="1:5" ht="12.3">
      <c r="A473" s="26"/>
      <c r="B473" s="23" t="str">
        <f>IF(ISBLANK(A473)," ",VLOOKUP(A473,'Product Database'!A:B,2,FALSE))</f>
        <v xml:space="preserve"> </v>
      </c>
      <c r="C473" s="24" t="str">
        <f>IF(ISBLANK(A473),"",SUMIF(Input!A:A,A473,Input!B:B))</f>
        <v/>
      </c>
      <c r="D473" s="25"/>
      <c r="E473" s="22" t="str">
        <f t="shared" si="1"/>
        <v xml:space="preserve"> </v>
      </c>
    </row>
    <row r="474" spans="1:5" ht="12.3">
      <c r="A474" s="26"/>
      <c r="B474" s="23" t="str">
        <f>IF(ISBLANK(A474)," ",VLOOKUP(A474,'Product Database'!A:B,2,FALSE))</f>
        <v xml:space="preserve"> </v>
      </c>
      <c r="C474" s="24" t="str">
        <f>IF(ISBLANK(A474),"",SUMIF(Input!A:A,A474,Input!B:B))</f>
        <v/>
      </c>
      <c r="D474" s="25"/>
      <c r="E474" s="22" t="str">
        <f t="shared" si="1"/>
        <v xml:space="preserve"> </v>
      </c>
    </row>
    <row r="475" spans="1:5" ht="12.3">
      <c r="A475" s="26"/>
      <c r="B475" s="23" t="str">
        <f>IF(ISBLANK(A475)," ",VLOOKUP(A475,'Product Database'!A:B,2,FALSE))</f>
        <v xml:space="preserve"> </v>
      </c>
      <c r="C475" s="24" t="str">
        <f>IF(ISBLANK(A475),"",SUMIF(Input!A:A,A475,Input!B:B))</f>
        <v/>
      </c>
      <c r="D475" s="25"/>
      <c r="E475" s="22" t="str">
        <f t="shared" si="1"/>
        <v xml:space="preserve"> </v>
      </c>
    </row>
    <row r="476" spans="1:5" ht="12.3">
      <c r="A476" s="26"/>
      <c r="B476" s="23" t="str">
        <f>IF(ISBLANK(A476)," ",VLOOKUP(A476,'Product Database'!A:B,2,FALSE))</f>
        <v xml:space="preserve"> </v>
      </c>
      <c r="C476" s="24" t="str">
        <f>IF(ISBLANK(A476),"",SUMIF(Input!A:A,A476,Input!B:B))</f>
        <v/>
      </c>
      <c r="D476" s="25"/>
      <c r="E476" s="22" t="str">
        <f t="shared" si="1"/>
        <v xml:space="preserve"> </v>
      </c>
    </row>
    <row r="477" spans="1:5" ht="12.3">
      <c r="A477" s="26"/>
      <c r="B477" s="23" t="str">
        <f>IF(ISBLANK(A477)," ",VLOOKUP(A477,'Product Database'!A:B,2,FALSE))</f>
        <v xml:space="preserve"> </v>
      </c>
      <c r="C477" s="24" t="str">
        <f>IF(ISBLANK(A477),"",SUMIF(Input!A:A,A477,Input!B:B))</f>
        <v/>
      </c>
      <c r="D477" s="25"/>
      <c r="E477" s="22" t="str">
        <f t="shared" si="1"/>
        <v xml:space="preserve"> </v>
      </c>
    </row>
    <row r="478" spans="1:5" ht="12.3">
      <c r="A478" s="26"/>
      <c r="B478" s="23" t="str">
        <f>IF(ISBLANK(A478)," ",VLOOKUP(A478,'Product Database'!A:B,2,FALSE))</f>
        <v xml:space="preserve"> </v>
      </c>
      <c r="C478" s="24" t="str">
        <f>IF(ISBLANK(A478),"",SUMIF(Input!A:A,A478,Input!B:B))</f>
        <v/>
      </c>
      <c r="D478" s="25"/>
      <c r="E478" s="22" t="str">
        <f t="shared" si="1"/>
        <v xml:space="preserve"> </v>
      </c>
    </row>
    <row r="479" spans="1:5" ht="12.3">
      <c r="A479" s="26"/>
      <c r="B479" s="23" t="str">
        <f>IF(ISBLANK(A479)," ",VLOOKUP(A479,'Product Database'!A:B,2,FALSE))</f>
        <v xml:space="preserve"> </v>
      </c>
      <c r="C479" s="24" t="str">
        <f>IF(ISBLANK(A479),"",SUMIF(Input!A:A,A479,Input!B:B))</f>
        <v/>
      </c>
      <c r="D479" s="25"/>
      <c r="E479" s="22" t="str">
        <f t="shared" si="1"/>
        <v xml:space="preserve"> </v>
      </c>
    </row>
    <row r="480" spans="1:5" ht="12.3">
      <c r="A480" s="26"/>
      <c r="B480" s="23" t="str">
        <f>IF(ISBLANK(A480)," ",VLOOKUP(A480,'Product Database'!A:B,2,FALSE))</f>
        <v xml:space="preserve"> </v>
      </c>
      <c r="C480" s="24" t="str">
        <f>IF(ISBLANK(A480),"",SUMIF(Input!A:A,A480,Input!B:B))</f>
        <v/>
      </c>
      <c r="D480" s="25"/>
      <c r="E480" s="22" t="str">
        <f t="shared" si="1"/>
        <v xml:space="preserve"> </v>
      </c>
    </row>
    <row r="481" spans="1:5" ht="12.3">
      <c r="A481" s="26"/>
      <c r="B481" s="23" t="str">
        <f>IF(ISBLANK(A481)," ",VLOOKUP(A481,'Product Database'!A:B,2,FALSE))</f>
        <v xml:space="preserve"> </v>
      </c>
      <c r="C481" s="24" t="str">
        <f>IF(ISBLANK(A481),"",SUMIF(Input!A:A,A481,Input!B:B))</f>
        <v/>
      </c>
      <c r="D481" s="25"/>
      <c r="E481" s="22" t="str">
        <f t="shared" si="1"/>
        <v xml:space="preserve"> </v>
      </c>
    </row>
    <row r="482" spans="1:5" ht="12.3">
      <c r="A482" s="26"/>
      <c r="B482" s="23" t="str">
        <f>IF(ISBLANK(A482)," ",VLOOKUP(A482,'Product Database'!A:B,2,FALSE))</f>
        <v xml:space="preserve"> </v>
      </c>
      <c r="C482" s="24" t="str">
        <f>IF(ISBLANK(A482),"",SUMIF(Input!A:A,A482,Input!B:B))</f>
        <v/>
      </c>
      <c r="D482" s="25"/>
      <c r="E482" s="22" t="str">
        <f t="shared" si="1"/>
        <v xml:space="preserve"> </v>
      </c>
    </row>
    <row r="483" spans="1:5" ht="12.3">
      <c r="A483" s="26"/>
      <c r="B483" s="23" t="str">
        <f>IF(ISBLANK(A483)," ",VLOOKUP(A483,'Product Database'!A:B,2,FALSE))</f>
        <v xml:space="preserve"> </v>
      </c>
      <c r="C483" s="24" t="str">
        <f>IF(ISBLANK(A483),"",SUMIF(Input!A:A,A483,Input!B:B))</f>
        <v/>
      </c>
      <c r="D483" s="25"/>
      <c r="E483" s="22" t="str">
        <f t="shared" si="1"/>
        <v xml:space="preserve"> </v>
      </c>
    </row>
    <row r="484" spans="1:5" ht="12.3">
      <c r="A484" s="26"/>
      <c r="B484" s="23" t="str">
        <f>IF(ISBLANK(A484)," ",VLOOKUP(A484,'Product Database'!A:B,2,FALSE))</f>
        <v xml:space="preserve"> </v>
      </c>
      <c r="C484" s="24" t="str">
        <f>IF(ISBLANK(A484),"",SUMIF(Input!A:A,A484,Input!B:B))</f>
        <v/>
      </c>
      <c r="D484" s="25"/>
      <c r="E484" s="22" t="str">
        <f t="shared" si="1"/>
        <v xml:space="preserve"> </v>
      </c>
    </row>
    <row r="485" spans="1:5" ht="12.3">
      <c r="A485" s="26"/>
      <c r="B485" s="23" t="str">
        <f>IF(ISBLANK(A485)," ",VLOOKUP(A485,'Product Database'!A:B,2,FALSE))</f>
        <v xml:space="preserve"> </v>
      </c>
      <c r="C485" s="24" t="str">
        <f>IF(ISBLANK(A485),"",SUMIF(Input!A:A,A485,Input!B:B))</f>
        <v/>
      </c>
      <c r="D485" s="25"/>
      <c r="E485" s="22" t="str">
        <f t="shared" si="1"/>
        <v xml:space="preserve"> </v>
      </c>
    </row>
    <row r="486" spans="1:5" ht="12.3">
      <c r="A486" s="26"/>
      <c r="B486" s="23" t="str">
        <f>IF(ISBLANK(A486)," ",VLOOKUP(A486,'Product Database'!A:B,2,FALSE))</f>
        <v xml:space="preserve"> </v>
      </c>
      <c r="C486" s="24" t="str">
        <f>IF(ISBLANK(A486),"",SUMIF(Input!A:A,A486,Input!B:B))</f>
        <v/>
      </c>
      <c r="D486" s="25"/>
      <c r="E486" s="22" t="str">
        <f t="shared" si="1"/>
        <v xml:space="preserve"> </v>
      </c>
    </row>
    <row r="487" spans="1:5" ht="12.3">
      <c r="A487" s="26"/>
      <c r="B487" s="23" t="str">
        <f>IF(ISBLANK(A487)," ",VLOOKUP(A487,'Product Database'!A:B,2,FALSE))</f>
        <v xml:space="preserve"> </v>
      </c>
      <c r="C487" s="24" t="str">
        <f>IF(ISBLANK(A487),"",SUMIF(Input!A:A,A487,Input!B:B))</f>
        <v/>
      </c>
      <c r="D487" s="25"/>
      <c r="E487" s="22" t="str">
        <f t="shared" si="1"/>
        <v xml:space="preserve"> </v>
      </c>
    </row>
    <row r="488" spans="1:5" ht="12.3">
      <c r="A488" s="26"/>
      <c r="B488" s="23" t="str">
        <f>IF(ISBLANK(A488)," ",VLOOKUP(A488,'Product Database'!A:B,2,FALSE))</f>
        <v xml:space="preserve"> </v>
      </c>
      <c r="C488" s="24" t="str">
        <f>IF(ISBLANK(A488),"",SUMIF(Input!A:A,A488,Input!B:B))</f>
        <v/>
      </c>
      <c r="D488" s="25"/>
      <c r="E488" s="22" t="str">
        <f t="shared" si="1"/>
        <v xml:space="preserve"> </v>
      </c>
    </row>
    <row r="489" spans="1:5" ht="12.3">
      <c r="A489" s="26"/>
      <c r="B489" s="23" t="str">
        <f>IF(ISBLANK(A489)," ",VLOOKUP(A489,'Product Database'!A:B,2,FALSE))</f>
        <v xml:space="preserve"> </v>
      </c>
      <c r="C489" s="24" t="str">
        <f>IF(ISBLANK(A489),"",SUMIF(Input!A:A,A489,Input!B:B))</f>
        <v/>
      </c>
      <c r="D489" s="25"/>
      <c r="E489" s="22" t="str">
        <f t="shared" si="1"/>
        <v xml:space="preserve"> </v>
      </c>
    </row>
    <row r="490" spans="1:5" ht="12.3">
      <c r="A490" s="26"/>
      <c r="B490" s="23" t="str">
        <f>IF(ISBLANK(A490)," ",VLOOKUP(A490,'Product Database'!A:B,2,FALSE))</f>
        <v xml:space="preserve"> </v>
      </c>
      <c r="C490" s="24" t="str">
        <f>IF(ISBLANK(A490),"",SUMIF(Input!A:A,A490,Input!B:B))</f>
        <v/>
      </c>
      <c r="D490" s="25"/>
      <c r="E490" s="22" t="str">
        <f t="shared" si="1"/>
        <v xml:space="preserve"> </v>
      </c>
    </row>
    <row r="491" spans="1:5" ht="12.3">
      <c r="A491" s="26"/>
      <c r="B491" s="23" t="str">
        <f>IF(ISBLANK(A491)," ",VLOOKUP(A491,'Product Database'!A:B,2,FALSE))</f>
        <v xml:space="preserve"> </v>
      </c>
      <c r="C491" s="24" t="str">
        <f>IF(ISBLANK(A491),"",SUMIF(Input!A:A,A491,Input!B:B))</f>
        <v/>
      </c>
      <c r="D491" s="25"/>
      <c r="E491" s="22" t="str">
        <f t="shared" si="1"/>
        <v xml:space="preserve"> </v>
      </c>
    </row>
    <row r="492" spans="1:5" ht="12.3">
      <c r="A492" s="26"/>
      <c r="B492" s="23" t="str">
        <f>IF(ISBLANK(A492)," ",VLOOKUP(A492,'Product Database'!A:B,2,FALSE))</f>
        <v xml:space="preserve"> </v>
      </c>
      <c r="C492" s="24" t="str">
        <f>IF(ISBLANK(A492),"",SUMIF(Input!A:A,A492,Input!B:B))</f>
        <v/>
      </c>
      <c r="D492" s="25"/>
      <c r="E492" s="22" t="str">
        <f t="shared" si="1"/>
        <v xml:space="preserve"> </v>
      </c>
    </row>
    <row r="493" spans="1:5" ht="12.3">
      <c r="A493" s="26"/>
      <c r="B493" s="23" t="str">
        <f>IF(ISBLANK(A493)," ",VLOOKUP(A493,'Product Database'!A:B,2,FALSE))</f>
        <v xml:space="preserve"> </v>
      </c>
      <c r="C493" s="24" t="str">
        <f>IF(ISBLANK(A493),"",SUMIF(Input!A:A,A493,Input!B:B))</f>
        <v/>
      </c>
      <c r="D493" s="25"/>
      <c r="E493" s="22" t="str">
        <f t="shared" si="1"/>
        <v xml:space="preserve"> </v>
      </c>
    </row>
    <row r="494" spans="1:5" ht="12.3">
      <c r="A494" s="26"/>
      <c r="B494" s="23" t="str">
        <f>IF(ISBLANK(A494)," ",VLOOKUP(A494,'Product Database'!A:B,2,FALSE))</f>
        <v xml:space="preserve"> </v>
      </c>
      <c r="C494" s="24" t="str">
        <f>IF(ISBLANK(A494),"",SUMIF(Input!A:A,A494,Input!B:B))</f>
        <v/>
      </c>
      <c r="D494" s="25"/>
      <c r="E494" s="22" t="str">
        <f t="shared" si="1"/>
        <v xml:space="preserve"> </v>
      </c>
    </row>
    <row r="495" spans="1:5" ht="12.3">
      <c r="A495" s="26"/>
      <c r="B495" s="23" t="str">
        <f>IF(ISBLANK(A495)," ",VLOOKUP(A495,'Product Database'!A:B,2,FALSE))</f>
        <v xml:space="preserve"> </v>
      </c>
      <c r="C495" s="24" t="str">
        <f>IF(ISBLANK(A495),"",SUMIF(Input!A:A,A495,Input!B:B))</f>
        <v/>
      </c>
      <c r="D495" s="25"/>
      <c r="E495" s="22" t="str">
        <f t="shared" si="1"/>
        <v xml:space="preserve"> </v>
      </c>
    </row>
    <row r="496" spans="1:5" ht="12.3">
      <c r="A496" s="26"/>
      <c r="B496" s="23" t="str">
        <f>IF(ISBLANK(A496)," ",VLOOKUP(A496,'Product Database'!A:B,2,FALSE))</f>
        <v xml:space="preserve"> </v>
      </c>
      <c r="C496" s="24" t="str">
        <f>IF(ISBLANK(A496),"",SUMIF(Input!A:A,A496,Input!B:B))</f>
        <v/>
      </c>
      <c r="D496" s="25"/>
      <c r="E496" s="22" t="str">
        <f t="shared" si="1"/>
        <v xml:space="preserve"> </v>
      </c>
    </row>
    <row r="497" spans="1:5" ht="12.3">
      <c r="A497" s="26"/>
      <c r="B497" s="23" t="str">
        <f>IF(ISBLANK(A497)," ",VLOOKUP(A497,'Product Database'!A:B,2,FALSE))</f>
        <v xml:space="preserve"> </v>
      </c>
      <c r="C497" s="24" t="str">
        <f>IF(ISBLANK(A497),"",SUMIF(Input!A:A,A497,Input!B:B))</f>
        <v/>
      </c>
      <c r="D497" s="25"/>
      <c r="E497" s="22" t="str">
        <f t="shared" si="1"/>
        <v xml:space="preserve"> </v>
      </c>
    </row>
    <row r="498" spans="1:5" ht="12.3">
      <c r="A498" s="26"/>
      <c r="B498" s="23" t="str">
        <f>IF(ISBLANK(A498)," ",VLOOKUP(A498,'Product Database'!A:B,2,FALSE))</f>
        <v xml:space="preserve"> </v>
      </c>
      <c r="C498" s="24" t="str">
        <f>IF(ISBLANK(A498),"",SUMIF(Input!A:A,A498,Input!B:B))</f>
        <v/>
      </c>
      <c r="D498" s="25"/>
      <c r="E498" s="22" t="str">
        <f t="shared" si="1"/>
        <v xml:space="preserve"> </v>
      </c>
    </row>
    <row r="499" spans="1:5" ht="12.3">
      <c r="A499" s="26"/>
      <c r="B499" s="23" t="str">
        <f>IF(ISBLANK(A499)," ",VLOOKUP(A499,'Product Database'!A:B,2,FALSE))</f>
        <v xml:space="preserve"> </v>
      </c>
      <c r="C499" s="24" t="str">
        <f>IF(ISBLANK(A499),"",SUMIF(Input!A:A,A499,Input!B:B))</f>
        <v/>
      </c>
      <c r="D499" s="25"/>
      <c r="E499" s="22" t="str">
        <f t="shared" si="1"/>
        <v xml:space="preserve"> </v>
      </c>
    </row>
    <row r="500" spans="1:5" ht="12.3">
      <c r="A500" s="26"/>
      <c r="B500" s="23" t="str">
        <f>IF(ISBLANK(A500)," ",VLOOKUP(A500,'Product Database'!A:B,2,FALSE))</f>
        <v xml:space="preserve"> </v>
      </c>
      <c r="C500" s="24" t="str">
        <f>IF(ISBLANK(A500),"",SUMIF(Input!A:A,A500,Input!B:B))</f>
        <v/>
      </c>
      <c r="D500" s="25"/>
      <c r="E500" s="22" t="str">
        <f t="shared" si="1"/>
        <v xml:space="preserve"> </v>
      </c>
    </row>
    <row r="501" spans="1:5" ht="12.3">
      <c r="A501" s="26"/>
      <c r="B501" s="23" t="str">
        <f>IF(ISBLANK(A501)," ",VLOOKUP(A501,'Product Database'!A:B,2,FALSE))</f>
        <v xml:space="preserve"> </v>
      </c>
      <c r="C501" s="24" t="str">
        <f>IF(ISBLANK(A501),"",SUMIF(Input!A:A,A501,Input!B:B))</f>
        <v/>
      </c>
      <c r="D501" s="25"/>
      <c r="E501" s="22" t="str">
        <f t="shared" si="1"/>
        <v xml:space="preserve"> </v>
      </c>
    </row>
    <row r="502" spans="1:5" ht="12.3">
      <c r="A502" s="26"/>
      <c r="B502" s="23" t="str">
        <f>IF(ISBLANK(A502)," ",VLOOKUP(A502,'Product Database'!A:B,2,FALSE))</f>
        <v xml:space="preserve"> </v>
      </c>
      <c r="C502" s="24" t="str">
        <f>IF(ISBLANK(A502),"",SUMIF(Input!A:A,A502,Input!B:B))</f>
        <v/>
      </c>
      <c r="D502" s="25"/>
      <c r="E502" s="22" t="str">
        <f t="shared" si="1"/>
        <v xml:space="preserve"> </v>
      </c>
    </row>
    <row r="503" spans="1:5" ht="12.3">
      <c r="A503" s="26"/>
      <c r="B503" s="23" t="str">
        <f>IF(ISBLANK(A503)," ",VLOOKUP(A503,'Product Database'!A:B,2,FALSE))</f>
        <v xml:space="preserve"> </v>
      </c>
      <c r="C503" s="24" t="str">
        <f>IF(ISBLANK(A503),"",SUMIF(Input!A:A,A503,Input!B:B))</f>
        <v/>
      </c>
      <c r="D503" s="25"/>
      <c r="E503" s="22" t="str">
        <f t="shared" si="1"/>
        <v xml:space="preserve"> </v>
      </c>
    </row>
    <row r="504" spans="1:5" ht="12.3">
      <c r="A504" s="26"/>
      <c r="B504" s="23" t="str">
        <f>IF(ISBLANK(A504)," ",VLOOKUP(A504,'Product Database'!A:B,2,FALSE))</f>
        <v xml:space="preserve"> </v>
      </c>
      <c r="C504" s="24" t="str">
        <f>IF(ISBLANK(A504),"",SUMIF(Input!A:A,A504,Input!B:B))</f>
        <v/>
      </c>
      <c r="D504" s="25"/>
      <c r="E504" s="22" t="str">
        <f t="shared" si="1"/>
        <v xml:space="preserve"> </v>
      </c>
    </row>
    <row r="505" spans="1:5" ht="12.3">
      <c r="A505" s="26"/>
      <c r="B505" s="23" t="str">
        <f>IF(ISBLANK(A505)," ",VLOOKUP(A505,'Product Database'!A:B,2,FALSE))</f>
        <v xml:space="preserve"> </v>
      </c>
      <c r="C505" s="24" t="str">
        <f>IF(ISBLANK(A505),"",SUMIF(Input!A:A,A505,Input!B:B))</f>
        <v/>
      </c>
      <c r="D505" s="25"/>
      <c r="E505" s="22" t="str">
        <f t="shared" si="1"/>
        <v xml:space="preserve"> </v>
      </c>
    </row>
    <row r="506" spans="1:5" ht="12.3">
      <c r="A506" s="26"/>
      <c r="B506" s="23" t="str">
        <f>IF(ISBLANK(A506)," ",VLOOKUP(A506,'Product Database'!A:B,2,FALSE))</f>
        <v xml:space="preserve"> </v>
      </c>
      <c r="C506" s="24" t="str">
        <f>IF(ISBLANK(A506),"",SUMIF(Input!A:A,A506,Input!B:B))</f>
        <v/>
      </c>
      <c r="D506" s="25"/>
      <c r="E506" s="22" t="str">
        <f t="shared" si="1"/>
        <v xml:space="preserve"> </v>
      </c>
    </row>
    <row r="507" spans="1:5" ht="12.3">
      <c r="A507" s="26"/>
      <c r="B507" s="23" t="str">
        <f>IF(ISBLANK(A507)," ",VLOOKUP(A507,'Product Database'!A:B,2,FALSE))</f>
        <v xml:space="preserve"> </v>
      </c>
      <c r="C507" s="24" t="str">
        <f>IF(ISBLANK(A507),"",SUMIF(Input!A:A,A507,Input!B:B))</f>
        <v/>
      </c>
      <c r="D507" s="25"/>
      <c r="E507" s="22" t="str">
        <f t="shared" si="1"/>
        <v xml:space="preserve"> </v>
      </c>
    </row>
    <row r="508" spans="1:5" ht="12.3">
      <c r="A508" s="26"/>
      <c r="B508" s="23" t="str">
        <f>IF(ISBLANK(A508)," ",VLOOKUP(A508,'Product Database'!A:B,2,FALSE))</f>
        <v xml:space="preserve"> </v>
      </c>
      <c r="C508" s="24" t="str">
        <f>IF(ISBLANK(A508),"",SUMIF(Input!A:A,A508,Input!B:B))</f>
        <v/>
      </c>
      <c r="D508" s="25"/>
      <c r="E508" s="22" t="str">
        <f t="shared" si="1"/>
        <v xml:space="preserve"> </v>
      </c>
    </row>
    <row r="509" spans="1:5" ht="12.3">
      <c r="A509" s="26"/>
      <c r="B509" s="23" t="str">
        <f>IF(ISBLANK(A509)," ",VLOOKUP(A509,'Product Database'!A:B,2,FALSE))</f>
        <v xml:space="preserve"> </v>
      </c>
      <c r="C509" s="24" t="str">
        <f>IF(ISBLANK(A509),"",SUMIF(Input!A:A,A509,Input!B:B))</f>
        <v/>
      </c>
      <c r="D509" s="25"/>
      <c r="E509" s="22" t="str">
        <f t="shared" si="1"/>
        <v xml:space="preserve"> </v>
      </c>
    </row>
    <row r="510" spans="1:5" ht="12.3">
      <c r="A510" s="26"/>
      <c r="B510" s="23" t="str">
        <f>IF(ISBLANK(A510)," ",VLOOKUP(A510,'Product Database'!A:B,2,FALSE))</f>
        <v xml:space="preserve"> </v>
      </c>
      <c r="C510" s="24" t="str">
        <f>IF(ISBLANK(A510),"",SUMIF(Input!A:A,A510,Input!B:B))</f>
        <v/>
      </c>
      <c r="D510" s="25"/>
      <c r="E510" s="22" t="str">
        <f t="shared" si="1"/>
        <v xml:space="preserve"> </v>
      </c>
    </row>
    <row r="511" spans="1:5" ht="12.3">
      <c r="A511" s="26"/>
      <c r="B511" s="23" t="str">
        <f>IF(ISBLANK(A511)," ",VLOOKUP(A511,'Product Database'!A:B,2,FALSE))</f>
        <v xml:space="preserve"> </v>
      </c>
      <c r="C511" s="24" t="str">
        <f>IF(ISBLANK(A511),"",SUMIF(Input!A:A,A511,Input!B:B))</f>
        <v/>
      </c>
      <c r="D511" s="25"/>
      <c r="E511" s="22" t="str">
        <f t="shared" si="1"/>
        <v xml:space="preserve"> </v>
      </c>
    </row>
    <row r="512" spans="1:5" ht="12.3">
      <c r="A512" s="26"/>
      <c r="B512" s="23" t="str">
        <f>IF(ISBLANK(A512)," ",VLOOKUP(A512,'Product Database'!A:B,2,FALSE))</f>
        <v xml:space="preserve"> </v>
      </c>
      <c r="C512" s="24" t="str">
        <f>IF(ISBLANK(A512),"",SUMIF(Input!A:A,A512,Input!B:B))</f>
        <v/>
      </c>
      <c r="D512" s="25"/>
      <c r="E512" s="22" t="str">
        <f t="shared" si="1"/>
        <v xml:space="preserve"> </v>
      </c>
    </row>
    <row r="513" spans="1:5" ht="12.3">
      <c r="A513" s="26"/>
      <c r="B513" s="23" t="str">
        <f>IF(ISBLANK(A513)," ",VLOOKUP(A513,'Product Database'!A:B,2,FALSE))</f>
        <v xml:space="preserve"> </v>
      </c>
      <c r="C513" s="24" t="str">
        <f>IF(ISBLANK(A513),"",SUMIF(Input!A:A,A513,Input!B:B))</f>
        <v/>
      </c>
      <c r="D513" s="25"/>
      <c r="E513" s="22" t="str">
        <f t="shared" si="1"/>
        <v xml:space="preserve"> </v>
      </c>
    </row>
    <row r="514" spans="1:5" ht="12.3">
      <c r="A514" s="26"/>
      <c r="B514" s="23" t="str">
        <f>IF(ISBLANK(A514)," ",VLOOKUP(A514,'Product Database'!A:B,2,FALSE))</f>
        <v xml:space="preserve"> </v>
      </c>
      <c r="C514" s="24" t="str">
        <f>IF(ISBLANK(A514),"",SUMIF(Input!A:A,A514,Input!B:B))</f>
        <v/>
      </c>
      <c r="D514" s="25"/>
      <c r="E514" s="22" t="str">
        <f t="shared" si="1"/>
        <v xml:space="preserve"> </v>
      </c>
    </row>
    <row r="515" spans="1:5" ht="12.3">
      <c r="A515" s="26"/>
      <c r="B515" s="23" t="str">
        <f>IF(ISBLANK(A515)," ",VLOOKUP(A515,'Product Database'!A:B,2,FALSE))</f>
        <v xml:space="preserve"> </v>
      </c>
      <c r="C515" s="24" t="str">
        <f>IF(ISBLANK(A515),"",SUMIF(Input!A:A,A515,Input!B:B))</f>
        <v/>
      </c>
      <c r="D515" s="25"/>
      <c r="E515" s="22" t="str">
        <f t="shared" si="1"/>
        <v xml:space="preserve"> </v>
      </c>
    </row>
    <row r="516" spans="1:5" ht="12.3">
      <c r="A516" s="26"/>
      <c r="B516" s="23" t="str">
        <f>IF(ISBLANK(A516)," ",VLOOKUP(A516,'Product Database'!A:B,2,FALSE))</f>
        <v xml:space="preserve"> </v>
      </c>
      <c r="C516" s="24" t="str">
        <f>IF(ISBLANK(A516),"",SUMIF(Input!A:A,A516,Input!B:B))</f>
        <v/>
      </c>
      <c r="D516" s="25"/>
      <c r="E516" s="22" t="str">
        <f t="shared" si="1"/>
        <v xml:space="preserve"> </v>
      </c>
    </row>
    <row r="517" spans="1:5" ht="12.3">
      <c r="A517" s="26"/>
      <c r="B517" s="23" t="str">
        <f>IF(ISBLANK(A517)," ",VLOOKUP(A517,'Product Database'!A:B,2,FALSE))</f>
        <v xml:space="preserve"> </v>
      </c>
      <c r="C517" s="24" t="str">
        <f>IF(ISBLANK(A517),"",SUMIF(Input!A:A,A517,Input!B:B))</f>
        <v/>
      </c>
      <c r="D517" s="25"/>
      <c r="E517" s="22" t="str">
        <f t="shared" ref="E517:E771" si="2">IF(ISBLANK(A517)," ",C517*D517)</f>
        <v xml:space="preserve"> </v>
      </c>
    </row>
    <row r="518" spans="1:5" ht="12.3">
      <c r="A518" s="26"/>
      <c r="B518" s="23" t="str">
        <f>IF(ISBLANK(A518)," ",VLOOKUP(A518,'Product Database'!A:B,2,FALSE))</f>
        <v xml:space="preserve"> </v>
      </c>
      <c r="C518" s="24" t="str">
        <f>IF(ISBLANK(A518),"",SUMIF(Input!A:A,A518,Input!B:B))</f>
        <v/>
      </c>
      <c r="D518" s="25"/>
      <c r="E518" s="22" t="str">
        <f t="shared" si="2"/>
        <v xml:space="preserve"> </v>
      </c>
    </row>
    <row r="519" spans="1:5" ht="12.3">
      <c r="A519" s="26"/>
      <c r="B519" s="23" t="str">
        <f>IF(ISBLANK(A519)," ",VLOOKUP(A519,'Product Database'!A:B,2,FALSE))</f>
        <v xml:space="preserve"> </v>
      </c>
      <c r="C519" s="24" t="str">
        <f>IF(ISBLANK(A519),"",SUMIF(Input!A:A,A519,Input!B:B))</f>
        <v/>
      </c>
      <c r="D519" s="25"/>
      <c r="E519" s="22" t="str">
        <f t="shared" si="2"/>
        <v xml:space="preserve"> </v>
      </c>
    </row>
    <row r="520" spans="1:5" ht="12.3">
      <c r="A520" s="26"/>
      <c r="B520" s="23" t="str">
        <f>IF(ISBLANK(A520)," ",VLOOKUP(A520,'Product Database'!A:B,2,FALSE))</f>
        <v xml:space="preserve"> </v>
      </c>
      <c r="C520" s="24" t="str">
        <f>IF(ISBLANK(A520),"",SUMIF(Input!A:A,A520,Input!B:B))</f>
        <v/>
      </c>
      <c r="D520" s="25"/>
      <c r="E520" s="22" t="str">
        <f t="shared" si="2"/>
        <v xml:space="preserve"> </v>
      </c>
    </row>
    <row r="521" spans="1:5" ht="12.3">
      <c r="A521" s="26"/>
      <c r="B521" s="23" t="str">
        <f>IF(ISBLANK(A521)," ",VLOOKUP(A521,'Product Database'!A:B,2,FALSE))</f>
        <v xml:space="preserve"> </v>
      </c>
      <c r="C521" s="24" t="str">
        <f>IF(ISBLANK(A521),"",SUMIF(Input!A:A,A521,Input!B:B))</f>
        <v/>
      </c>
      <c r="D521" s="25"/>
      <c r="E521" s="22" t="str">
        <f t="shared" si="2"/>
        <v xml:space="preserve"> </v>
      </c>
    </row>
    <row r="522" spans="1:5" ht="12.3">
      <c r="A522" s="26"/>
      <c r="B522" s="23" t="str">
        <f>IF(ISBLANK(A522)," ",VLOOKUP(A522,'Product Database'!A:B,2,FALSE))</f>
        <v xml:space="preserve"> </v>
      </c>
      <c r="C522" s="24" t="str">
        <f>IF(ISBLANK(A522),"",SUMIF(Input!A:A,A522,Input!B:B))</f>
        <v/>
      </c>
      <c r="D522" s="25"/>
      <c r="E522" s="22" t="str">
        <f t="shared" si="2"/>
        <v xml:space="preserve"> </v>
      </c>
    </row>
    <row r="523" spans="1:5" ht="12.3">
      <c r="A523" s="26"/>
      <c r="B523" s="23" t="str">
        <f>IF(ISBLANK(A523)," ",VLOOKUP(A523,'Product Database'!A:B,2,FALSE))</f>
        <v xml:space="preserve"> </v>
      </c>
      <c r="C523" s="24" t="str">
        <f>IF(ISBLANK(A523),"",SUMIF(Input!A:A,A523,Input!B:B))</f>
        <v/>
      </c>
      <c r="D523" s="25"/>
      <c r="E523" s="22" t="str">
        <f t="shared" si="2"/>
        <v xml:space="preserve"> </v>
      </c>
    </row>
    <row r="524" spans="1:5" ht="12.3">
      <c r="A524" s="26"/>
      <c r="B524" s="23" t="str">
        <f>IF(ISBLANK(A524)," ",VLOOKUP(A524,'Product Database'!A:B,2,FALSE))</f>
        <v xml:space="preserve"> </v>
      </c>
      <c r="C524" s="24" t="str">
        <f>IF(ISBLANK(A524),"",SUMIF(Input!A:A,A524,Input!B:B))</f>
        <v/>
      </c>
      <c r="D524" s="25"/>
      <c r="E524" s="22" t="str">
        <f t="shared" si="2"/>
        <v xml:space="preserve"> </v>
      </c>
    </row>
    <row r="525" spans="1:5" ht="12.3">
      <c r="A525" s="26"/>
      <c r="B525" s="23" t="str">
        <f>IF(ISBLANK(A525)," ",VLOOKUP(A525,'Product Database'!A:B,2,FALSE))</f>
        <v xml:space="preserve"> </v>
      </c>
      <c r="C525" s="24" t="str">
        <f>IF(ISBLANK(A525),"",SUMIF(Input!A:A,A525,Input!B:B))</f>
        <v/>
      </c>
      <c r="D525" s="25"/>
      <c r="E525" s="22" t="str">
        <f t="shared" si="2"/>
        <v xml:space="preserve"> </v>
      </c>
    </row>
    <row r="526" spans="1:5" ht="12.3">
      <c r="A526" s="26"/>
      <c r="B526" s="23" t="str">
        <f>IF(ISBLANK(A526)," ",VLOOKUP(A526,'Product Database'!A:B,2,FALSE))</f>
        <v xml:space="preserve"> </v>
      </c>
      <c r="C526" s="24" t="str">
        <f>IF(ISBLANK(A526),"",SUMIF(Input!A:A,A526,Input!B:B))</f>
        <v/>
      </c>
      <c r="D526" s="25"/>
      <c r="E526" s="22" t="str">
        <f t="shared" si="2"/>
        <v xml:space="preserve"> </v>
      </c>
    </row>
    <row r="527" spans="1:5" ht="12.3">
      <c r="A527" s="26"/>
      <c r="B527" s="23" t="str">
        <f>IF(ISBLANK(A527)," ",VLOOKUP(A527,'Product Database'!A:B,2,FALSE))</f>
        <v xml:space="preserve"> </v>
      </c>
      <c r="C527" s="24" t="str">
        <f>IF(ISBLANK(A527),"",SUMIF(Input!A:A,A527,Input!B:B))</f>
        <v/>
      </c>
      <c r="D527" s="25"/>
      <c r="E527" s="22" t="str">
        <f t="shared" si="2"/>
        <v xml:space="preserve"> </v>
      </c>
    </row>
    <row r="528" spans="1:5" ht="12.3">
      <c r="A528" s="26"/>
      <c r="B528" s="23" t="str">
        <f>IF(ISBLANK(A528)," ",VLOOKUP(A528,'Product Database'!A:B,2,FALSE))</f>
        <v xml:space="preserve"> </v>
      </c>
      <c r="C528" s="24" t="str">
        <f>IF(ISBLANK(A528),"",SUMIF(Input!A:A,A528,Input!B:B))</f>
        <v/>
      </c>
      <c r="D528" s="25"/>
      <c r="E528" s="22" t="str">
        <f t="shared" si="2"/>
        <v xml:space="preserve"> </v>
      </c>
    </row>
    <row r="529" spans="1:5" ht="12.3">
      <c r="A529" s="26"/>
      <c r="B529" s="23" t="str">
        <f>IF(ISBLANK(A529)," ",VLOOKUP(A529,'Product Database'!A:B,2,FALSE))</f>
        <v xml:space="preserve"> </v>
      </c>
      <c r="C529" s="24" t="str">
        <f>IF(ISBLANK(A529),"",SUMIF(Input!A:A,A529,Input!B:B))</f>
        <v/>
      </c>
      <c r="D529" s="25"/>
      <c r="E529" s="22" t="str">
        <f t="shared" si="2"/>
        <v xml:space="preserve"> </v>
      </c>
    </row>
    <row r="530" spans="1:5" ht="12.3">
      <c r="A530" s="26"/>
      <c r="B530" s="23" t="str">
        <f>IF(ISBLANK(A530)," ",VLOOKUP(A530,'Product Database'!A:B,2,FALSE))</f>
        <v xml:space="preserve"> </v>
      </c>
      <c r="C530" s="24" t="str">
        <f>IF(ISBLANK(A530),"",SUMIF(Input!A:A,A530,Input!B:B))</f>
        <v/>
      </c>
      <c r="D530" s="25"/>
      <c r="E530" s="22" t="str">
        <f t="shared" si="2"/>
        <v xml:space="preserve"> </v>
      </c>
    </row>
    <row r="531" spans="1:5" ht="12.3">
      <c r="A531" s="26"/>
      <c r="B531" s="23" t="str">
        <f>IF(ISBLANK(A531)," ",VLOOKUP(A531,'Product Database'!A:B,2,FALSE))</f>
        <v xml:space="preserve"> </v>
      </c>
      <c r="C531" s="24" t="str">
        <f>IF(ISBLANK(A531),"",SUMIF(Input!A:A,A531,Input!B:B))</f>
        <v/>
      </c>
      <c r="D531" s="25"/>
      <c r="E531" s="22" t="str">
        <f t="shared" si="2"/>
        <v xml:space="preserve"> </v>
      </c>
    </row>
    <row r="532" spans="1:5" ht="12.3">
      <c r="A532" s="26"/>
      <c r="B532" s="23" t="str">
        <f>IF(ISBLANK(A532)," ",VLOOKUP(A532,'Product Database'!A:B,2,FALSE))</f>
        <v xml:space="preserve"> </v>
      </c>
      <c r="C532" s="24" t="str">
        <f>IF(ISBLANK(A532),"",SUMIF(Input!A:A,A532,Input!B:B))</f>
        <v/>
      </c>
      <c r="D532" s="25"/>
      <c r="E532" s="22" t="str">
        <f t="shared" si="2"/>
        <v xml:space="preserve"> </v>
      </c>
    </row>
    <row r="533" spans="1:5" ht="12.3">
      <c r="A533" s="26"/>
      <c r="B533" s="23" t="str">
        <f>IF(ISBLANK(A533)," ",VLOOKUP(A533,'Product Database'!A:B,2,FALSE))</f>
        <v xml:space="preserve"> </v>
      </c>
      <c r="C533" s="24" t="str">
        <f>IF(ISBLANK(A533),"",SUMIF(Input!A:A,A533,Input!B:B))</f>
        <v/>
      </c>
      <c r="D533" s="25"/>
      <c r="E533" s="22" t="str">
        <f t="shared" si="2"/>
        <v xml:space="preserve"> </v>
      </c>
    </row>
    <row r="534" spans="1:5" ht="12.3">
      <c r="A534" s="26"/>
      <c r="B534" s="23" t="str">
        <f>IF(ISBLANK(A534)," ",VLOOKUP(A534,'Product Database'!A:B,2,FALSE))</f>
        <v xml:space="preserve"> </v>
      </c>
      <c r="C534" s="24" t="str">
        <f>IF(ISBLANK(A534),"",SUMIF(Input!A:A,A534,Input!B:B))</f>
        <v/>
      </c>
      <c r="D534" s="25"/>
      <c r="E534" s="22" t="str">
        <f t="shared" si="2"/>
        <v xml:space="preserve"> </v>
      </c>
    </row>
    <row r="535" spans="1:5" ht="12.3">
      <c r="A535" s="26"/>
      <c r="B535" s="23" t="str">
        <f>IF(ISBLANK(A535)," ",VLOOKUP(A535,'Product Database'!A:B,2,FALSE))</f>
        <v xml:space="preserve"> </v>
      </c>
      <c r="C535" s="24" t="str">
        <f>IF(ISBLANK(A535),"",SUMIF(Input!A:A,A535,Input!B:B))</f>
        <v/>
      </c>
      <c r="D535" s="25"/>
      <c r="E535" s="22" t="str">
        <f t="shared" si="2"/>
        <v xml:space="preserve"> </v>
      </c>
    </row>
    <row r="536" spans="1:5" ht="12.3">
      <c r="A536" s="26"/>
      <c r="B536" s="23" t="str">
        <f>IF(ISBLANK(A536)," ",VLOOKUP(A536,'Product Database'!A:B,2,FALSE))</f>
        <v xml:space="preserve"> </v>
      </c>
      <c r="C536" s="24" t="str">
        <f>IF(ISBLANK(A536),"",SUMIF(Input!A:A,A536,Input!B:B))</f>
        <v/>
      </c>
      <c r="D536" s="25"/>
      <c r="E536" s="22" t="str">
        <f t="shared" si="2"/>
        <v xml:space="preserve"> </v>
      </c>
    </row>
    <row r="537" spans="1:5" ht="12.3">
      <c r="A537" s="26"/>
      <c r="B537" s="23" t="str">
        <f>IF(ISBLANK(A537)," ",VLOOKUP(A537,'Product Database'!A:B,2,FALSE))</f>
        <v xml:space="preserve"> </v>
      </c>
      <c r="C537" s="24" t="str">
        <f>IF(ISBLANK(A537),"",SUMIF(Input!A:A,A537,Input!B:B))</f>
        <v/>
      </c>
      <c r="D537" s="25"/>
      <c r="E537" s="22" t="str">
        <f t="shared" si="2"/>
        <v xml:space="preserve"> </v>
      </c>
    </row>
    <row r="538" spans="1:5" ht="12.3">
      <c r="A538" s="26"/>
      <c r="B538" s="23" t="str">
        <f>IF(ISBLANK(A538)," ",VLOOKUP(A538,'Product Database'!A:B,2,FALSE))</f>
        <v xml:space="preserve"> </v>
      </c>
      <c r="C538" s="24" t="str">
        <f>IF(ISBLANK(A538),"",SUMIF(Input!A:A,A538,Input!B:B))</f>
        <v/>
      </c>
      <c r="D538" s="25"/>
      <c r="E538" s="22" t="str">
        <f t="shared" si="2"/>
        <v xml:space="preserve"> </v>
      </c>
    </row>
    <row r="539" spans="1:5" ht="12.3">
      <c r="A539" s="26"/>
      <c r="B539" s="23" t="str">
        <f>IF(ISBLANK(A539)," ",VLOOKUP(A539,'Product Database'!A:B,2,FALSE))</f>
        <v xml:space="preserve"> </v>
      </c>
      <c r="C539" s="24" t="str">
        <f>IF(ISBLANK(A539),"",SUMIF(Input!A:A,A539,Input!B:B))</f>
        <v/>
      </c>
      <c r="D539" s="25"/>
      <c r="E539" s="22" t="str">
        <f t="shared" si="2"/>
        <v xml:space="preserve"> </v>
      </c>
    </row>
    <row r="540" spans="1:5" ht="12.3">
      <c r="A540" s="26"/>
      <c r="B540" s="23" t="str">
        <f>IF(ISBLANK(A540)," ",VLOOKUP(A540,'Product Database'!A:B,2,FALSE))</f>
        <v xml:space="preserve"> </v>
      </c>
      <c r="C540" s="24" t="str">
        <f>IF(ISBLANK(A540),"",SUMIF(Input!A:A,A540,Input!B:B))</f>
        <v/>
      </c>
      <c r="D540" s="25"/>
      <c r="E540" s="22" t="str">
        <f t="shared" si="2"/>
        <v xml:space="preserve"> </v>
      </c>
    </row>
    <row r="541" spans="1:5" ht="12.3">
      <c r="A541" s="26"/>
      <c r="B541" s="23" t="str">
        <f>IF(ISBLANK(A541)," ",VLOOKUP(A541,'Product Database'!A:B,2,FALSE))</f>
        <v xml:space="preserve"> </v>
      </c>
      <c r="C541" s="24" t="str">
        <f>IF(ISBLANK(A541),"",SUMIF(Input!A:A,A541,Input!B:B))</f>
        <v/>
      </c>
      <c r="D541" s="25"/>
      <c r="E541" s="22" t="str">
        <f t="shared" si="2"/>
        <v xml:space="preserve"> </v>
      </c>
    </row>
    <row r="542" spans="1:5" ht="12.3">
      <c r="A542" s="26"/>
      <c r="B542" s="23" t="str">
        <f>IF(ISBLANK(A542)," ",VLOOKUP(A542,'Product Database'!A:B,2,FALSE))</f>
        <v xml:space="preserve"> </v>
      </c>
      <c r="C542" s="24" t="str">
        <f>IF(ISBLANK(A542),"",SUMIF(Input!A:A,A542,Input!B:B))</f>
        <v/>
      </c>
      <c r="D542" s="25"/>
      <c r="E542" s="22" t="str">
        <f t="shared" si="2"/>
        <v xml:space="preserve"> </v>
      </c>
    </row>
    <row r="543" spans="1:5" ht="12.3">
      <c r="A543" s="26"/>
      <c r="B543" s="23" t="str">
        <f>IF(ISBLANK(A543)," ",VLOOKUP(A543,'Product Database'!A:B,2,FALSE))</f>
        <v xml:space="preserve"> </v>
      </c>
      <c r="C543" s="24" t="str">
        <f>IF(ISBLANK(A543),"",SUMIF(Input!A:A,A543,Input!B:B))</f>
        <v/>
      </c>
      <c r="D543" s="25"/>
      <c r="E543" s="22" t="str">
        <f t="shared" si="2"/>
        <v xml:space="preserve"> </v>
      </c>
    </row>
    <row r="544" spans="1:5" ht="12.3">
      <c r="A544" s="26"/>
      <c r="B544" s="23" t="str">
        <f>IF(ISBLANK(A544)," ",VLOOKUP(A544,'Product Database'!A:B,2,FALSE))</f>
        <v xml:space="preserve"> </v>
      </c>
      <c r="C544" s="24" t="str">
        <f>IF(ISBLANK(A544),"",SUMIF(Input!A:A,A544,Input!B:B))</f>
        <v/>
      </c>
      <c r="D544" s="25"/>
      <c r="E544" s="22" t="str">
        <f t="shared" si="2"/>
        <v xml:space="preserve"> </v>
      </c>
    </row>
    <row r="545" spans="1:5" ht="12.3">
      <c r="A545" s="26"/>
      <c r="B545" s="23" t="str">
        <f>IF(ISBLANK(A545)," ",VLOOKUP(A545,'Product Database'!A:B,2,FALSE))</f>
        <v xml:space="preserve"> </v>
      </c>
      <c r="C545" s="24" t="str">
        <f>IF(ISBLANK(A545),"",SUMIF(Input!A:A,A545,Input!B:B))</f>
        <v/>
      </c>
      <c r="D545" s="25"/>
      <c r="E545" s="22" t="str">
        <f t="shared" si="2"/>
        <v xml:space="preserve"> </v>
      </c>
    </row>
    <row r="546" spans="1:5" ht="12.3">
      <c r="A546" s="26"/>
      <c r="B546" s="23" t="str">
        <f>IF(ISBLANK(A546)," ",VLOOKUP(A546,'Product Database'!A:B,2,FALSE))</f>
        <v xml:space="preserve"> </v>
      </c>
      <c r="C546" s="24" t="str">
        <f>IF(ISBLANK(A546),"",SUMIF(Input!A:A,A546,Input!B:B))</f>
        <v/>
      </c>
      <c r="D546" s="25"/>
      <c r="E546" s="22" t="str">
        <f t="shared" si="2"/>
        <v xml:space="preserve"> </v>
      </c>
    </row>
    <row r="547" spans="1:5" ht="12.3">
      <c r="A547" s="26"/>
      <c r="B547" s="23" t="str">
        <f>IF(ISBLANK(A547)," ",VLOOKUP(A547,'Product Database'!A:B,2,FALSE))</f>
        <v xml:space="preserve"> </v>
      </c>
      <c r="C547" s="24" t="str">
        <f>IF(ISBLANK(A547),"",SUMIF(Input!A:A,A547,Input!B:B))</f>
        <v/>
      </c>
      <c r="D547" s="25"/>
      <c r="E547" s="22" t="str">
        <f t="shared" si="2"/>
        <v xml:space="preserve"> </v>
      </c>
    </row>
    <row r="548" spans="1:5" ht="12.3">
      <c r="A548" s="26"/>
      <c r="B548" s="23" t="str">
        <f>IF(ISBLANK(A548)," ",VLOOKUP(A548,'Product Database'!A:B,2,FALSE))</f>
        <v xml:space="preserve"> </v>
      </c>
      <c r="C548" s="24" t="str">
        <f>IF(ISBLANK(A548),"",SUMIF(Input!A:A,A548,Input!B:B))</f>
        <v/>
      </c>
      <c r="D548" s="25"/>
      <c r="E548" s="22" t="str">
        <f t="shared" si="2"/>
        <v xml:space="preserve"> </v>
      </c>
    </row>
    <row r="549" spans="1:5" ht="12.3">
      <c r="A549" s="26"/>
      <c r="B549" s="23" t="str">
        <f>IF(ISBLANK(A549)," ",VLOOKUP(A549,'Product Database'!A:B,2,FALSE))</f>
        <v xml:space="preserve"> </v>
      </c>
      <c r="C549" s="24" t="str">
        <f>IF(ISBLANK(A549),"",SUMIF(Input!A:A,A549,Input!B:B))</f>
        <v/>
      </c>
      <c r="D549" s="25"/>
      <c r="E549" s="22" t="str">
        <f t="shared" si="2"/>
        <v xml:space="preserve"> </v>
      </c>
    </row>
    <row r="550" spans="1:5" ht="12.3">
      <c r="A550" s="26"/>
      <c r="B550" s="23" t="str">
        <f>IF(ISBLANK(A550)," ",VLOOKUP(A550,'Product Database'!A:B,2,FALSE))</f>
        <v xml:space="preserve"> </v>
      </c>
      <c r="C550" s="24" t="str">
        <f>IF(ISBLANK(A550),"",SUMIF(Input!A:A,A550,Input!B:B))</f>
        <v/>
      </c>
      <c r="D550" s="25"/>
      <c r="E550" s="22" t="str">
        <f t="shared" si="2"/>
        <v xml:space="preserve"> </v>
      </c>
    </row>
    <row r="551" spans="1:5" ht="12.3">
      <c r="A551" s="26"/>
      <c r="B551" s="23" t="str">
        <f>IF(ISBLANK(A551)," ",VLOOKUP(A551,'Product Database'!A:B,2,FALSE))</f>
        <v xml:space="preserve"> </v>
      </c>
      <c r="C551" s="24" t="str">
        <f>IF(ISBLANK(A551),"",SUMIF(Input!A:A,A551,Input!B:B))</f>
        <v/>
      </c>
      <c r="D551" s="25"/>
      <c r="E551" s="22" t="str">
        <f t="shared" si="2"/>
        <v xml:space="preserve"> </v>
      </c>
    </row>
    <row r="552" spans="1:5" ht="12.3">
      <c r="A552" s="26"/>
      <c r="B552" s="23" t="str">
        <f>IF(ISBLANK(A552)," ",VLOOKUP(A552,'Product Database'!A:B,2,FALSE))</f>
        <v xml:space="preserve"> </v>
      </c>
      <c r="C552" s="24" t="str">
        <f>IF(ISBLANK(A552),"",SUMIF(Input!A:A,A552,Input!B:B))</f>
        <v/>
      </c>
      <c r="D552" s="25"/>
      <c r="E552" s="22" t="str">
        <f t="shared" si="2"/>
        <v xml:space="preserve"> </v>
      </c>
    </row>
    <row r="553" spans="1:5" ht="12.3">
      <c r="A553" s="26"/>
      <c r="B553" s="23" t="str">
        <f>IF(ISBLANK(A553)," ",VLOOKUP(A553,'Product Database'!A:B,2,FALSE))</f>
        <v xml:space="preserve"> </v>
      </c>
      <c r="C553" s="24" t="str">
        <f>IF(ISBLANK(A553),"",SUMIF(Input!A:A,A553,Input!B:B))</f>
        <v/>
      </c>
      <c r="D553" s="25"/>
      <c r="E553" s="22" t="str">
        <f t="shared" si="2"/>
        <v xml:space="preserve"> </v>
      </c>
    </row>
    <row r="554" spans="1:5" ht="12.3">
      <c r="A554" s="26"/>
      <c r="B554" s="23" t="str">
        <f>IF(ISBLANK(A554)," ",VLOOKUP(A554,'Product Database'!A:B,2,FALSE))</f>
        <v xml:space="preserve"> </v>
      </c>
      <c r="C554" s="24" t="str">
        <f>IF(ISBLANK(A554),"",SUMIF(Input!A:A,A554,Input!B:B))</f>
        <v/>
      </c>
      <c r="D554" s="25"/>
      <c r="E554" s="22" t="str">
        <f t="shared" si="2"/>
        <v xml:space="preserve"> </v>
      </c>
    </row>
    <row r="555" spans="1:5" ht="12.3">
      <c r="A555" s="26"/>
      <c r="B555" s="23" t="str">
        <f>IF(ISBLANK(A555)," ",VLOOKUP(A555,'Product Database'!A:B,2,FALSE))</f>
        <v xml:space="preserve"> </v>
      </c>
      <c r="C555" s="24" t="str">
        <f>IF(ISBLANK(A555),"",SUMIF(Input!A:A,A555,Input!B:B))</f>
        <v/>
      </c>
      <c r="D555" s="25"/>
      <c r="E555" s="22" t="str">
        <f t="shared" si="2"/>
        <v xml:space="preserve"> </v>
      </c>
    </row>
    <row r="556" spans="1:5" ht="12.3">
      <c r="A556" s="26"/>
      <c r="B556" s="23" t="str">
        <f>IF(ISBLANK(A556)," ",VLOOKUP(A556,'Product Database'!A:B,2,FALSE))</f>
        <v xml:space="preserve"> </v>
      </c>
      <c r="C556" s="24" t="str">
        <f>IF(ISBLANK(A556),"",SUMIF(Input!A:A,A556,Input!B:B))</f>
        <v/>
      </c>
      <c r="D556" s="25"/>
      <c r="E556" s="22" t="str">
        <f t="shared" si="2"/>
        <v xml:space="preserve"> </v>
      </c>
    </row>
    <row r="557" spans="1:5" ht="12.3">
      <c r="A557" s="26"/>
      <c r="B557" s="23" t="str">
        <f>IF(ISBLANK(A557)," ",VLOOKUP(A557,'Product Database'!A:B,2,FALSE))</f>
        <v xml:space="preserve"> </v>
      </c>
      <c r="C557" s="24" t="str">
        <f>IF(ISBLANK(A557),"",SUMIF(Input!A:A,A557,Input!B:B))</f>
        <v/>
      </c>
      <c r="D557" s="25"/>
      <c r="E557" s="22" t="str">
        <f t="shared" si="2"/>
        <v xml:space="preserve"> </v>
      </c>
    </row>
    <row r="558" spans="1:5" ht="12.3">
      <c r="A558" s="26"/>
      <c r="B558" s="23" t="str">
        <f>IF(ISBLANK(A558)," ",VLOOKUP(A558,'Product Database'!A:B,2,FALSE))</f>
        <v xml:space="preserve"> </v>
      </c>
      <c r="C558" s="24" t="str">
        <f>IF(ISBLANK(A558),"",SUMIF(Input!A:A,A558,Input!B:B))</f>
        <v/>
      </c>
      <c r="D558" s="25"/>
      <c r="E558" s="22" t="str">
        <f t="shared" si="2"/>
        <v xml:space="preserve"> </v>
      </c>
    </row>
    <row r="559" spans="1:5" ht="12.3">
      <c r="A559" s="26"/>
      <c r="B559" s="23" t="str">
        <f>IF(ISBLANK(A559)," ",VLOOKUP(A559,'Product Database'!A:B,2,FALSE))</f>
        <v xml:space="preserve"> </v>
      </c>
      <c r="C559" s="24" t="str">
        <f>IF(ISBLANK(A559),"",SUMIF(Input!A:A,A559,Input!B:B))</f>
        <v/>
      </c>
      <c r="D559" s="25"/>
      <c r="E559" s="22" t="str">
        <f t="shared" si="2"/>
        <v xml:space="preserve"> </v>
      </c>
    </row>
    <row r="560" spans="1:5" ht="12.3">
      <c r="A560" s="26"/>
      <c r="B560" s="23" t="str">
        <f>IF(ISBLANK(A560)," ",VLOOKUP(A560,'Product Database'!A:B,2,FALSE))</f>
        <v xml:space="preserve"> </v>
      </c>
      <c r="C560" s="24" t="str">
        <f>IF(ISBLANK(A560),"",SUMIF(Input!A:A,A560,Input!B:B))</f>
        <v/>
      </c>
      <c r="D560" s="25"/>
      <c r="E560" s="22" t="str">
        <f t="shared" si="2"/>
        <v xml:space="preserve"> </v>
      </c>
    </row>
    <row r="561" spans="1:5" ht="12.3">
      <c r="A561" s="26"/>
      <c r="B561" s="23" t="str">
        <f>IF(ISBLANK(A561)," ",VLOOKUP(A561,'Product Database'!A:B,2,FALSE))</f>
        <v xml:space="preserve"> </v>
      </c>
      <c r="C561" s="24" t="str">
        <f>IF(ISBLANK(A561),"",SUMIF(Input!A:A,A561,Input!B:B))</f>
        <v/>
      </c>
      <c r="D561" s="25"/>
      <c r="E561" s="22" t="str">
        <f t="shared" si="2"/>
        <v xml:space="preserve"> </v>
      </c>
    </row>
    <row r="562" spans="1:5" ht="12.3">
      <c r="A562" s="26"/>
      <c r="B562" s="23" t="str">
        <f>IF(ISBLANK(A562)," ",VLOOKUP(A562,'Product Database'!A:B,2,FALSE))</f>
        <v xml:space="preserve"> </v>
      </c>
      <c r="C562" s="24" t="str">
        <f>IF(ISBLANK(A562),"",SUMIF(Input!A:A,A562,Input!B:B))</f>
        <v/>
      </c>
      <c r="D562" s="25"/>
      <c r="E562" s="22" t="str">
        <f t="shared" si="2"/>
        <v xml:space="preserve"> </v>
      </c>
    </row>
    <row r="563" spans="1:5" ht="12.3">
      <c r="A563" s="26"/>
      <c r="B563" s="23" t="str">
        <f>IF(ISBLANK(A563)," ",VLOOKUP(A563,'Product Database'!A:B,2,FALSE))</f>
        <v xml:space="preserve"> </v>
      </c>
      <c r="C563" s="24" t="str">
        <f>IF(ISBLANK(A563),"",SUMIF(Input!A:A,A563,Input!B:B))</f>
        <v/>
      </c>
      <c r="D563" s="25"/>
      <c r="E563" s="22" t="str">
        <f t="shared" si="2"/>
        <v xml:space="preserve"> </v>
      </c>
    </row>
    <row r="564" spans="1:5" ht="12.3">
      <c r="A564" s="26"/>
      <c r="B564" s="23" t="str">
        <f>IF(ISBLANK(A564)," ",VLOOKUP(A564,'Product Database'!A:B,2,FALSE))</f>
        <v xml:space="preserve"> </v>
      </c>
      <c r="C564" s="24" t="str">
        <f>IF(ISBLANK(A564),"",SUMIF(Input!A:A,A564,Input!B:B))</f>
        <v/>
      </c>
      <c r="D564" s="25"/>
      <c r="E564" s="22" t="str">
        <f t="shared" si="2"/>
        <v xml:space="preserve"> </v>
      </c>
    </row>
    <row r="565" spans="1:5" ht="12.3">
      <c r="A565" s="26"/>
      <c r="B565" s="23" t="str">
        <f>IF(ISBLANK(A565)," ",VLOOKUP(A565,'Product Database'!A:B,2,FALSE))</f>
        <v xml:space="preserve"> </v>
      </c>
      <c r="C565" s="24" t="str">
        <f>IF(ISBLANK(A565),"",SUMIF(Input!A:A,A565,Input!B:B))</f>
        <v/>
      </c>
      <c r="D565" s="25"/>
      <c r="E565" s="22" t="str">
        <f t="shared" si="2"/>
        <v xml:space="preserve"> </v>
      </c>
    </row>
    <row r="566" spans="1:5" ht="12.3">
      <c r="A566" s="26"/>
      <c r="B566" s="23" t="str">
        <f>IF(ISBLANK(A566)," ",VLOOKUP(A566,'Product Database'!A:B,2,FALSE))</f>
        <v xml:space="preserve"> </v>
      </c>
      <c r="C566" s="24" t="str">
        <f>IF(ISBLANK(A566),"",SUMIF(Input!A:A,A566,Input!B:B))</f>
        <v/>
      </c>
      <c r="D566" s="25"/>
      <c r="E566" s="22" t="str">
        <f t="shared" si="2"/>
        <v xml:space="preserve"> </v>
      </c>
    </row>
    <row r="567" spans="1:5" ht="12.3">
      <c r="A567" s="26"/>
      <c r="B567" s="23" t="str">
        <f>IF(ISBLANK(A567)," ",VLOOKUP(A567,'Product Database'!A:B,2,FALSE))</f>
        <v xml:space="preserve"> </v>
      </c>
      <c r="C567" s="24" t="str">
        <f>IF(ISBLANK(A567),"",SUMIF(Input!A:A,A567,Input!B:B))</f>
        <v/>
      </c>
      <c r="D567" s="25"/>
      <c r="E567" s="22" t="str">
        <f t="shared" si="2"/>
        <v xml:space="preserve"> </v>
      </c>
    </row>
    <row r="568" spans="1:5" ht="12.3">
      <c r="A568" s="26"/>
      <c r="B568" s="23" t="str">
        <f>IF(ISBLANK(A568)," ",VLOOKUP(A568,'Product Database'!A:B,2,FALSE))</f>
        <v xml:space="preserve"> </v>
      </c>
      <c r="C568" s="24" t="str">
        <f>IF(ISBLANK(A568),"",SUMIF(Input!A:A,A568,Input!B:B))</f>
        <v/>
      </c>
      <c r="D568" s="25"/>
      <c r="E568" s="22" t="str">
        <f t="shared" si="2"/>
        <v xml:space="preserve"> </v>
      </c>
    </row>
    <row r="569" spans="1:5" ht="12.3">
      <c r="A569" s="26"/>
      <c r="B569" s="23" t="str">
        <f>IF(ISBLANK(A569)," ",VLOOKUP(A569,'Product Database'!A:B,2,FALSE))</f>
        <v xml:space="preserve"> </v>
      </c>
      <c r="C569" s="24" t="str">
        <f>IF(ISBLANK(A569),"",SUMIF(Input!A:A,A569,Input!B:B))</f>
        <v/>
      </c>
      <c r="D569" s="25"/>
      <c r="E569" s="22" t="str">
        <f t="shared" si="2"/>
        <v xml:space="preserve"> </v>
      </c>
    </row>
    <row r="570" spans="1:5" ht="12.3">
      <c r="A570" s="26"/>
      <c r="B570" s="23" t="str">
        <f>IF(ISBLANK(A570)," ",VLOOKUP(A570,'Product Database'!A:B,2,FALSE))</f>
        <v xml:space="preserve"> </v>
      </c>
      <c r="C570" s="24" t="str">
        <f>IF(ISBLANK(A570),"",SUMIF(Input!A:A,A570,Input!B:B))</f>
        <v/>
      </c>
      <c r="D570" s="25"/>
      <c r="E570" s="22" t="str">
        <f t="shared" si="2"/>
        <v xml:space="preserve"> </v>
      </c>
    </row>
    <row r="571" spans="1:5" ht="12.3">
      <c r="A571" s="26"/>
      <c r="B571" s="23" t="str">
        <f>IF(ISBLANK(A571)," ",VLOOKUP(A571,'Product Database'!A:B,2,FALSE))</f>
        <v xml:space="preserve"> </v>
      </c>
      <c r="C571" s="24" t="str">
        <f>IF(ISBLANK(A571),"",SUMIF(Input!A:A,A571,Input!B:B))</f>
        <v/>
      </c>
      <c r="D571" s="25"/>
      <c r="E571" s="22" t="str">
        <f t="shared" si="2"/>
        <v xml:space="preserve"> </v>
      </c>
    </row>
    <row r="572" spans="1:5" ht="12.3">
      <c r="A572" s="26"/>
      <c r="B572" s="23" t="str">
        <f>IF(ISBLANK(A572)," ",VLOOKUP(A572,'Product Database'!A:B,2,FALSE))</f>
        <v xml:space="preserve"> </v>
      </c>
      <c r="C572" s="24" t="str">
        <f>IF(ISBLANK(A572),"",SUMIF(Input!A:A,A572,Input!B:B))</f>
        <v/>
      </c>
      <c r="D572" s="25"/>
      <c r="E572" s="22" t="str">
        <f t="shared" si="2"/>
        <v xml:space="preserve"> </v>
      </c>
    </row>
    <row r="573" spans="1:5" ht="12.3">
      <c r="A573" s="26"/>
      <c r="B573" s="23" t="str">
        <f>IF(ISBLANK(A573)," ",VLOOKUP(A573,'Product Database'!A:B,2,FALSE))</f>
        <v xml:space="preserve"> </v>
      </c>
      <c r="C573" s="24" t="str">
        <f>IF(ISBLANK(A573),"",SUMIF(Input!A:A,A573,Input!B:B))</f>
        <v/>
      </c>
      <c r="D573" s="25"/>
      <c r="E573" s="22" t="str">
        <f t="shared" si="2"/>
        <v xml:space="preserve"> </v>
      </c>
    </row>
    <row r="574" spans="1:5" ht="12.3">
      <c r="A574" s="26"/>
      <c r="B574" s="23" t="str">
        <f>IF(ISBLANK(A574)," ",VLOOKUP(A574,'Product Database'!A:B,2,FALSE))</f>
        <v xml:space="preserve"> </v>
      </c>
      <c r="C574" s="24" t="str">
        <f>IF(ISBLANK(A574),"",SUMIF(Input!A:A,A574,Input!B:B))</f>
        <v/>
      </c>
      <c r="D574" s="25"/>
      <c r="E574" s="22" t="str">
        <f t="shared" si="2"/>
        <v xml:space="preserve"> </v>
      </c>
    </row>
    <row r="575" spans="1:5" ht="12.3">
      <c r="A575" s="26"/>
      <c r="B575" s="23" t="str">
        <f>IF(ISBLANK(A575)," ",VLOOKUP(A575,'Product Database'!A:B,2,FALSE))</f>
        <v xml:space="preserve"> </v>
      </c>
      <c r="C575" s="24" t="str">
        <f>IF(ISBLANK(A575),"",SUMIF(Input!A:A,A575,Input!B:B))</f>
        <v/>
      </c>
      <c r="D575" s="25"/>
      <c r="E575" s="22" t="str">
        <f t="shared" si="2"/>
        <v xml:space="preserve"> </v>
      </c>
    </row>
    <row r="576" spans="1:5" ht="12.3">
      <c r="A576" s="26"/>
      <c r="B576" s="23" t="str">
        <f>IF(ISBLANK(A576)," ",VLOOKUP(A576,'Product Database'!A:B,2,FALSE))</f>
        <v xml:space="preserve"> </v>
      </c>
      <c r="C576" s="24" t="str">
        <f>IF(ISBLANK(A576),"",SUMIF(Input!A:A,A576,Input!B:B))</f>
        <v/>
      </c>
      <c r="D576" s="25"/>
      <c r="E576" s="22" t="str">
        <f t="shared" si="2"/>
        <v xml:space="preserve"> </v>
      </c>
    </row>
    <row r="577" spans="1:5" ht="12.3">
      <c r="A577" s="26"/>
      <c r="B577" s="23" t="str">
        <f>IF(ISBLANK(A577)," ",VLOOKUP(A577,'Product Database'!A:B,2,FALSE))</f>
        <v xml:space="preserve"> </v>
      </c>
      <c r="C577" s="24" t="str">
        <f>IF(ISBLANK(A577),"",SUMIF(Input!A:A,A577,Input!B:B))</f>
        <v/>
      </c>
      <c r="D577" s="25"/>
      <c r="E577" s="22" t="str">
        <f t="shared" si="2"/>
        <v xml:space="preserve"> </v>
      </c>
    </row>
    <row r="578" spans="1:5" ht="12.3">
      <c r="A578" s="26"/>
      <c r="B578" s="23" t="str">
        <f>IF(ISBLANK(A578)," ",VLOOKUP(A578,'Product Database'!A:B,2,FALSE))</f>
        <v xml:space="preserve"> </v>
      </c>
      <c r="C578" s="24" t="str">
        <f>IF(ISBLANK(A578),"",SUMIF(Input!A:A,A578,Input!B:B))</f>
        <v/>
      </c>
      <c r="D578" s="25"/>
      <c r="E578" s="22" t="str">
        <f t="shared" si="2"/>
        <v xml:space="preserve"> </v>
      </c>
    </row>
    <row r="579" spans="1:5" ht="12.3">
      <c r="A579" s="26"/>
      <c r="B579" s="23" t="str">
        <f>IF(ISBLANK(A579)," ",VLOOKUP(A579,'Product Database'!A:B,2,FALSE))</f>
        <v xml:space="preserve"> </v>
      </c>
      <c r="C579" s="24" t="str">
        <f>IF(ISBLANK(A579),"",SUMIF(Input!A:A,A579,Input!B:B))</f>
        <v/>
      </c>
      <c r="D579" s="25"/>
      <c r="E579" s="22" t="str">
        <f t="shared" si="2"/>
        <v xml:space="preserve"> </v>
      </c>
    </row>
    <row r="580" spans="1:5" ht="12.3">
      <c r="A580" s="26"/>
      <c r="B580" s="23" t="str">
        <f>IF(ISBLANK(A580)," ",VLOOKUP(A580,'Product Database'!A:B,2,FALSE))</f>
        <v xml:space="preserve"> </v>
      </c>
      <c r="C580" s="24" t="str">
        <f>IF(ISBLANK(A580),"",SUMIF(Input!A:A,A580,Input!B:B))</f>
        <v/>
      </c>
      <c r="D580" s="25"/>
      <c r="E580" s="22" t="str">
        <f t="shared" si="2"/>
        <v xml:space="preserve"> </v>
      </c>
    </row>
    <row r="581" spans="1:5" ht="12.3">
      <c r="A581" s="26"/>
      <c r="B581" s="23" t="str">
        <f>IF(ISBLANK(A581)," ",VLOOKUP(A581,'Product Database'!A:B,2,FALSE))</f>
        <v xml:space="preserve"> </v>
      </c>
      <c r="C581" s="24" t="str">
        <f>IF(ISBLANK(A581),"",SUMIF(Input!A:A,A581,Input!B:B))</f>
        <v/>
      </c>
      <c r="D581" s="25"/>
      <c r="E581" s="22" t="str">
        <f t="shared" si="2"/>
        <v xml:space="preserve"> </v>
      </c>
    </row>
    <row r="582" spans="1:5" ht="12.3">
      <c r="A582" s="26"/>
      <c r="B582" s="23" t="str">
        <f>IF(ISBLANK(A582)," ",VLOOKUP(A582,'Product Database'!A:B,2,FALSE))</f>
        <v xml:space="preserve"> </v>
      </c>
      <c r="C582" s="24" t="str">
        <f>IF(ISBLANK(A582),"",SUMIF(Input!A:A,A582,Input!B:B))</f>
        <v/>
      </c>
      <c r="D582" s="25"/>
      <c r="E582" s="22" t="str">
        <f t="shared" si="2"/>
        <v xml:space="preserve"> </v>
      </c>
    </row>
    <row r="583" spans="1:5" ht="12.3">
      <c r="A583" s="26"/>
      <c r="B583" s="23" t="str">
        <f>IF(ISBLANK(A583)," ",VLOOKUP(A583,'Product Database'!A:B,2,FALSE))</f>
        <v xml:space="preserve"> </v>
      </c>
      <c r="C583" s="24" t="str">
        <f>IF(ISBLANK(A583),"",SUMIF(Input!A:A,A583,Input!B:B))</f>
        <v/>
      </c>
      <c r="D583" s="25"/>
      <c r="E583" s="22" t="str">
        <f t="shared" si="2"/>
        <v xml:space="preserve"> </v>
      </c>
    </row>
    <row r="584" spans="1:5" ht="12.3">
      <c r="A584" s="26"/>
      <c r="B584" s="23" t="str">
        <f>IF(ISBLANK(A584)," ",VLOOKUP(A584,'Product Database'!A:B,2,FALSE))</f>
        <v xml:space="preserve"> </v>
      </c>
      <c r="C584" s="24" t="str">
        <f>IF(ISBLANK(A584),"",SUMIF(Input!A:A,A584,Input!B:B))</f>
        <v/>
      </c>
      <c r="D584" s="25"/>
      <c r="E584" s="22" t="str">
        <f t="shared" si="2"/>
        <v xml:space="preserve"> </v>
      </c>
    </row>
    <row r="585" spans="1:5" ht="12.3">
      <c r="A585" s="26"/>
      <c r="B585" s="23" t="str">
        <f>IF(ISBLANK(A585)," ",VLOOKUP(A585,'Product Database'!A:B,2,FALSE))</f>
        <v xml:space="preserve"> </v>
      </c>
      <c r="C585" s="24" t="str">
        <f>IF(ISBLANK(A585),"",SUMIF(Input!A:A,A585,Input!B:B))</f>
        <v/>
      </c>
      <c r="D585" s="25"/>
      <c r="E585" s="22" t="str">
        <f t="shared" si="2"/>
        <v xml:space="preserve"> </v>
      </c>
    </row>
    <row r="586" spans="1:5" ht="12.3">
      <c r="A586" s="26"/>
      <c r="B586" s="23" t="str">
        <f>IF(ISBLANK(A586)," ",VLOOKUP(A586,'Product Database'!A:B,2,FALSE))</f>
        <v xml:space="preserve"> </v>
      </c>
      <c r="C586" s="24" t="str">
        <f>IF(ISBLANK(A586),"",SUMIF(Input!A:A,A586,Input!B:B))</f>
        <v/>
      </c>
      <c r="D586" s="25"/>
      <c r="E586" s="22" t="str">
        <f t="shared" si="2"/>
        <v xml:space="preserve"> </v>
      </c>
    </row>
    <row r="587" spans="1:5" ht="12.3">
      <c r="A587" s="26"/>
      <c r="B587" s="23" t="str">
        <f>IF(ISBLANK(A587)," ",VLOOKUP(A587,'Product Database'!A:B,2,FALSE))</f>
        <v xml:space="preserve"> </v>
      </c>
      <c r="C587" s="24" t="str">
        <f>IF(ISBLANK(A587),"",SUMIF(Input!A:A,A587,Input!B:B))</f>
        <v/>
      </c>
      <c r="D587" s="25"/>
      <c r="E587" s="22" t="str">
        <f t="shared" si="2"/>
        <v xml:space="preserve"> </v>
      </c>
    </row>
    <row r="588" spans="1:5" ht="12.3">
      <c r="A588" s="26"/>
      <c r="B588" s="23" t="str">
        <f>IF(ISBLANK(A588)," ",VLOOKUP(A588,'Product Database'!A:B,2,FALSE))</f>
        <v xml:space="preserve"> </v>
      </c>
      <c r="C588" s="24" t="str">
        <f>IF(ISBLANK(A588),"",SUMIF(Input!A:A,A588,Input!B:B))</f>
        <v/>
      </c>
      <c r="D588" s="25"/>
      <c r="E588" s="22" t="str">
        <f t="shared" si="2"/>
        <v xml:space="preserve"> </v>
      </c>
    </row>
    <row r="589" spans="1:5" ht="12.3">
      <c r="A589" s="26"/>
      <c r="B589" s="23" t="str">
        <f>IF(ISBLANK(A589)," ",VLOOKUP(A589,'Product Database'!A:B,2,FALSE))</f>
        <v xml:space="preserve"> </v>
      </c>
      <c r="C589" s="24" t="str">
        <f>IF(ISBLANK(A589),"",SUMIF(Input!A:A,A589,Input!B:B))</f>
        <v/>
      </c>
      <c r="D589" s="25"/>
      <c r="E589" s="22" t="str">
        <f t="shared" si="2"/>
        <v xml:space="preserve"> </v>
      </c>
    </row>
    <row r="590" spans="1:5" ht="12.3">
      <c r="A590" s="26"/>
      <c r="B590" s="23" t="str">
        <f>IF(ISBLANK(A590)," ",VLOOKUP(A590,'Product Database'!A:B,2,FALSE))</f>
        <v xml:space="preserve"> </v>
      </c>
      <c r="C590" s="24" t="str">
        <f>IF(ISBLANK(A590),"",SUMIF(Input!A:A,A590,Input!B:B))</f>
        <v/>
      </c>
      <c r="D590" s="25"/>
      <c r="E590" s="22" t="str">
        <f t="shared" si="2"/>
        <v xml:space="preserve"> </v>
      </c>
    </row>
    <row r="591" spans="1:5" ht="12.3">
      <c r="A591" s="26"/>
      <c r="B591" s="23" t="str">
        <f>IF(ISBLANK(A591)," ",VLOOKUP(A591,'Product Database'!A:B,2,FALSE))</f>
        <v xml:space="preserve"> </v>
      </c>
      <c r="C591" s="24" t="str">
        <f>IF(ISBLANK(A591),"",SUMIF(Input!A:A,A591,Input!B:B))</f>
        <v/>
      </c>
      <c r="D591" s="25"/>
      <c r="E591" s="22" t="str">
        <f t="shared" si="2"/>
        <v xml:space="preserve"> </v>
      </c>
    </row>
    <row r="592" spans="1:5" ht="12.3">
      <c r="A592" s="26"/>
      <c r="B592" s="23" t="str">
        <f>IF(ISBLANK(A592)," ",VLOOKUP(A592,'Product Database'!A:B,2,FALSE))</f>
        <v xml:space="preserve"> </v>
      </c>
      <c r="C592" s="24" t="str">
        <f>IF(ISBLANK(A592),"",SUMIF(Input!A:A,A592,Input!B:B))</f>
        <v/>
      </c>
      <c r="D592" s="25"/>
      <c r="E592" s="22" t="str">
        <f t="shared" si="2"/>
        <v xml:space="preserve"> </v>
      </c>
    </row>
    <row r="593" spans="1:5" ht="12.3">
      <c r="A593" s="26"/>
      <c r="B593" s="23" t="str">
        <f>IF(ISBLANK(A593)," ",VLOOKUP(A593,'Product Database'!A:B,2,FALSE))</f>
        <v xml:space="preserve"> </v>
      </c>
      <c r="C593" s="24" t="str">
        <f>IF(ISBLANK(A593),"",SUMIF(Input!A:A,A593,Input!B:B))</f>
        <v/>
      </c>
      <c r="D593" s="25"/>
      <c r="E593" s="22" t="str">
        <f t="shared" si="2"/>
        <v xml:space="preserve"> </v>
      </c>
    </row>
    <row r="594" spans="1:5" ht="12.3">
      <c r="A594" s="26"/>
      <c r="B594" s="23" t="str">
        <f>IF(ISBLANK(A594)," ",VLOOKUP(A594,'Product Database'!A:B,2,FALSE))</f>
        <v xml:space="preserve"> </v>
      </c>
      <c r="C594" s="24" t="str">
        <f>IF(ISBLANK(A594),"",SUMIF(Input!A:A,A594,Input!B:B))</f>
        <v/>
      </c>
      <c r="D594" s="25"/>
      <c r="E594" s="22" t="str">
        <f t="shared" si="2"/>
        <v xml:space="preserve"> </v>
      </c>
    </row>
    <row r="595" spans="1:5" ht="12.3">
      <c r="A595" s="26"/>
      <c r="B595" s="23" t="str">
        <f>IF(ISBLANK(A595)," ",VLOOKUP(A595,'Product Database'!A:B,2,FALSE))</f>
        <v xml:space="preserve"> </v>
      </c>
      <c r="C595" s="24" t="str">
        <f>IF(ISBLANK(A595),"",SUMIF(Input!A:A,A595,Input!B:B))</f>
        <v/>
      </c>
      <c r="D595" s="25"/>
      <c r="E595" s="22" t="str">
        <f t="shared" si="2"/>
        <v xml:space="preserve"> </v>
      </c>
    </row>
    <row r="596" spans="1:5" ht="12.3">
      <c r="A596" s="26"/>
      <c r="B596" s="23" t="str">
        <f>IF(ISBLANK(A596)," ",VLOOKUP(A596,'Product Database'!A:B,2,FALSE))</f>
        <v xml:space="preserve"> </v>
      </c>
      <c r="C596" s="24" t="str">
        <f>IF(ISBLANK(A596),"",SUMIF(Input!A:A,A596,Input!B:B))</f>
        <v/>
      </c>
      <c r="D596" s="25"/>
      <c r="E596" s="22" t="str">
        <f t="shared" si="2"/>
        <v xml:space="preserve"> </v>
      </c>
    </row>
    <row r="597" spans="1:5" ht="12.3">
      <c r="A597" s="26"/>
      <c r="B597" s="23" t="str">
        <f>IF(ISBLANK(A597)," ",VLOOKUP(A597,'Product Database'!A:B,2,FALSE))</f>
        <v xml:space="preserve"> </v>
      </c>
      <c r="C597" s="24" t="str">
        <f>IF(ISBLANK(A597),"",SUMIF(Input!A:A,A597,Input!B:B))</f>
        <v/>
      </c>
      <c r="D597" s="25"/>
      <c r="E597" s="22" t="str">
        <f t="shared" si="2"/>
        <v xml:space="preserve"> </v>
      </c>
    </row>
    <row r="598" spans="1:5" ht="12.3">
      <c r="A598" s="26"/>
      <c r="B598" s="23" t="str">
        <f>IF(ISBLANK(A598)," ",VLOOKUP(A598,'Product Database'!A:B,2,FALSE))</f>
        <v xml:space="preserve"> </v>
      </c>
      <c r="C598" s="24" t="str">
        <f>IF(ISBLANK(A598),"",SUMIF(Input!A:A,A598,Input!B:B))</f>
        <v/>
      </c>
      <c r="D598" s="25"/>
      <c r="E598" s="22" t="str">
        <f t="shared" si="2"/>
        <v xml:space="preserve"> </v>
      </c>
    </row>
    <row r="599" spans="1:5" ht="12.3">
      <c r="A599" s="26"/>
      <c r="B599" s="23" t="str">
        <f>IF(ISBLANK(A599)," ",VLOOKUP(A599,'Product Database'!A:B,2,FALSE))</f>
        <v xml:space="preserve"> </v>
      </c>
      <c r="C599" s="24" t="str">
        <f>IF(ISBLANK(A599),"",SUMIF(Input!A:A,A599,Input!B:B))</f>
        <v/>
      </c>
      <c r="D599" s="25"/>
      <c r="E599" s="22" t="str">
        <f t="shared" si="2"/>
        <v xml:space="preserve"> </v>
      </c>
    </row>
    <row r="600" spans="1:5" ht="12.3">
      <c r="A600" s="26"/>
      <c r="B600" s="23" t="str">
        <f>IF(ISBLANK(A600)," ",VLOOKUP(A600,'Product Database'!A:B,2,FALSE))</f>
        <v xml:space="preserve"> </v>
      </c>
      <c r="C600" s="24" t="str">
        <f>IF(ISBLANK(A600),"",SUMIF(Input!A:A,A600,Input!B:B))</f>
        <v/>
      </c>
      <c r="D600" s="25"/>
      <c r="E600" s="22" t="str">
        <f t="shared" si="2"/>
        <v xml:space="preserve"> </v>
      </c>
    </row>
    <row r="601" spans="1:5" ht="12.3">
      <c r="A601" s="26"/>
      <c r="B601" s="23" t="str">
        <f>IF(ISBLANK(A601)," ",VLOOKUP(A601,'Product Database'!A:B,2,FALSE))</f>
        <v xml:space="preserve"> </v>
      </c>
      <c r="C601" s="24" t="str">
        <f>IF(ISBLANK(A601),"",SUMIF(Input!A:A,A601,Input!B:B))</f>
        <v/>
      </c>
      <c r="D601" s="25"/>
      <c r="E601" s="22" t="str">
        <f t="shared" si="2"/>
        <v xml:space="preserve"> </v>
      </c>
    </row>
    <row r="602" spans="1:5" ht="12.3">
      <c r="A602" s="26"/>
      <c r="B602" s="23" t="str">
        <f>IF(ISBLANK(A602)," ",VLOOKUP(A602,'Product Database'!A:B,2,FALSE))</f>
        <v xml:space="preserve"> </v>
      </c>
      <c r="C602" s="24" t="str">
        <f>IF(ISBLANK(A602),"",SUMIF(Input!A:A,A602,Input!B:B))</f>
        <v/>
      </c>
      <c r="D602" s="25"/>
      <c r="E602" s="22" t="str">
        <f t="shared" si="2"/>
        <v xml:space="preserve"> </v>
      </c>
    </row>
    <row r="603" spans="1:5" ht="12.3">
      <c r="A603" s="26"/>
      <c r="B603" s="23" t="str">
        <f>IF(ISBLANK(A603)," ",VLOOKUP(A603,'Product Database'!A:B,2,FALSE))</f>
        <v xml:space="preserve"> </v>
      </c>
      <c r="C603" s="24" t="str">
        <f>IF(ISBLANK(A603),"",SUMIF(Input!A:A,A603,Input!B:B))</f>
        <v/>
      </c>
      <c r="D603" s="25"/>
      <c r="E603" s="22" t="str">
        <f t="shared" si="2"/>
        <v xml:space="preserve"> </v>
      </c>
    </row>
    <row r="604" spans="1:5" ht="12.3">
      <c r="A604" s="26"/>
      <c r="B604" s="23" t="str">
        <f>IF(ISBLANK(A604)," ",VLOOKUP(A604,'Product Database'!A:B,2,FALSE))</f>
        <v xml:space="preserve"> </v>
      </c>
      <c r="C604" s="24" t="str">
        <f>IF(ISBLANK(A604),"",SUMIF(Input!A:A,A604,Input!B:B))</f>
        <v/>
      </c>
      <c r="D604" s="25"/>
      <c r="E604" s="22" t="str">
        <f t="shared" si="2"/>
        <v xml:space="preserve"> </v>
      </c>
    </row>
    <row r="605" spans="1:5" ht="12.3">
      <c r="A605" s="26"/>
      <c r="B605" s="23" t="str">
        <f>IF(ISBLANK(A605)," ",VLOOKUP(A605,'Product Database'!A:B,2,FALSE))</f>
        <v xml:space="preserve"> </v>
      </c>
      <c r="C605" s="24" t="str">
        <f>IF(ISBLANK(A605),"",SUMIF(Input!A:A,A605,Input!B:B))</f>
        <v/>
      </c>
      <c r="D605" s="25"/>
      <c r="E605" s="22" t="str">
        <f t="shared" si="2"/>
        <v xml:space="preserve"> </v>
      </c>
    </row>
    <row r="606" spans="1:5" ht="12.3">
      <c r="A606" s="26"/>
      <c r="B606" s="23" t="str">
        <f>IF(ISBLANK(A606)," ",VLOOKUP(A606,'Product Database'!A:B,2,FALSE))</f>
        <v xml:space="preserve"> </v>
      </c>
      <c r="C606" s="24" t="str">
        <f>IF(ISBLANK(A606),"",SUMIF(Input!A:A,A606,Input!B:B))</f>
        <v/>
      </c>
      <c r="D606" s="25"/>
      <c r="E606" s="22" t="str">
        <f t="shared" si="2"/>
        <v xml:space="preserve"> </v>
      </c>
    </row>
    <row r="607" spans="1:5" ht="12.3">
      <c r="A607" s="26"/>
      <c r="B607" s="23" t="str">
        <f>IF(ISBLANK(A607)," ",VLOOKUP(A607,'Product Database'!A:B,2,FALSE))</f>
        <v xml:space="preserve"> </v>
      </c>
      <c r="C607" s="24" t="str">
        <f>IF(ISBLANK(A607),"",SUMIF(Input!A:A,A607,Input!B:B))</f>
        <v/>
      </c>
      <c r="D607" s="25"/>
      <c r="E607" s="22" t="str">
        <f t="shared" si="2"/>
        <v xml:space="preserve"> </v>
      </c>
    </row>
    <row r="608" spans="1:5" ht="12.3">
      <c r="A608" s="26"/>
      <c r="B608" s="23" t="str">
        <f>IF(ISBLANK(A608)," ",VLOOKUP(A608,'Product Database'!A:B,2,FALSE))</f>
        <v xml:space="preserve"> </v>
      </c>
      <c r="C608" s="24" t="str">
        <f>IF(ISBLANK(A608),"",SUMIF(Input!A:A,A608,Input!B:B))</f>
        <v/>
      </c>
      <c r="D608" s="25"/>
      <c r="E608" s="22" t="str">
        <f t="shared" si="2"/>
        <v xml:space="preserve"> </v>
      </c>
    </row>
    <row r="609" spans="1:5" ht="12.3">
      <c r="A609" s="26"/>
      <c r="B609" s="23" t="str">
        <f>IF(ISBLANK(A609)," ",VLOOKUP(A609,'Product Database'!A:B,2,FALSE))</f>
        <v xml:space="preserve"> </v>
      </c>
      <c r="C609" s="24" t="str">
        <f>IF(ISBLANK(A609),"",SUMIF(Input!A:A,A609,Input!B:B))</f>
        <v/>
      </c>
      <c r="D609" s="25"/>
      <c r="E609" s="22" t="str">
        <f t="shared" si="2"/>
        <v xml:space="preserve"> </v>
      </c>
    </row>
    <row r="610" spans="1:5" ht="12.3">
      <c r="A610" s="26"/>
      <c r="B610" s="23" t="str">
        <f>IF(ISBLANK(A610)," ",VLOOKUP(A610,'Product Database'!A:B,2,FALSE))</f>
        <v xml:space="preserve"> </v>
      </c>
      <c r="C610" s="24" t="str">
        <f>IF(ISBLANK(A610),"",SUMIF(Input!A:A,A610,Input!B:B))</f>
        <v/>
      </c>
      <c r="D610" s="25"/>
      <c r="E610" s="22" t="str">
        <f t="shared" si="2"/>
        <v xml:space="preserve"> </v>
      </c>
    </row>
    <row r="611" spans="1:5" ht="12.3">
      <c r="A611" s="26"/>
      <c r="B611" s="23" t="str">
        <f>IF(ISBLANK(A611)," ",VLOOKUP(A611,'Product Database'!A:B,2,FALSE))</f>
        <v xml:space="preserve"> </v>
      </c>
      <c r="C611" s="24" t="str">
        <f>IF(ISBLANK(A611),"",SUMIF(Input!A:A,A611,Input!B:B))</f>
        <v/>
      </c>
      <c r="D611" s="25"/>
      <c r="E611" s="22" t="str">
        <f t="shared" si="2"/>
        <v xml:space="preserve"> </v>
      </c>
    </row>
    <row r="612" spans="1:5" ht="12.3">
      <c r="A612" s="26"/>
      <c r="B612" s="23" t="str">
        <f>IF(ISBLANK(A612)," ",VLOOKUP(A612,'Product Database'!A:B,2,FALSE))</f>
        <v xml:space="preserve"> </v>
      </c>
      <c r="C612" s="24" t="str">
        <f>IF(ISBLANK(A612),"",SUMIF(Input!A:A,A612,Input!B:B))</f>
        <v/>
      </c>
      <c r="D612" s="25"/>
      <c r="E612" s="22" t="str">
        <f t="shared" si="2"/>
        <v xml:space="preserve"> </v>
      </c>
    </row>
    <row r="613" spans="1:5" ht="12.3">
      <c r="A613" s="26"/>
      <c r="B613" s="23" t="str">
        <f>IF(ISBLANK(A613)," ",VLOOKUP(A613,'Product Database'!A:B,2,FALSE))</f>
        <v xml:space="preserve"> </v>
      </c>
      <c r="C613" s="24" t="str">
        <f>IF(ISBLANK(A613),"",SUMIF(Input!A:A,A613,Input!B:B))</f>
        <v/>
      </c>
      <c r="D613" s="25"/>
      <c r="E613" s="22" t="str">
        <f t="shared" si="2"/>
        <v xml:space="preserve"> </v>
      </c>
    </row>
    <row r="614" spans="1:5" ht="12.3">
      <c r="A614" s="26"/>
      <c r="B614" s="23" t="str">
        <f>IF(ISBLANK(A614)," ",VLOOKUP(A614,'Product Database'!A:B,2,FALSE))</f>
        <v xml:space="preserve"> </v>
      </c>
      <c r="C614" s="24" t="str">
        <f>IF(ISBLANK(A614),"",SUMIF(Input!A:A,A614,Input!B:B))</f>
        <v/>
      </c>
      <c r="D614" s="25"/>
      <c r="E614" s="22" t="str">
        <f t="shared" si="2"/>
        <v xml:space="preserve"> </v>
      </c>
    </row>
    <row r="615" spans="1:5" ht="12.3">
      <c r="A615" s="26"/>
      <c r="B615" s="23" t="str">
        <f>IF(ISBLANK(A615)," ",VLOOKUP(A615,'Product Database'!A:B,2,FALSE))</f>
        <v xml:space="preserve"> </v>
      </c>
      <c r="C615" s="24" t="str">
        <f>IF(ISBLANK(A615),"",SUMIF(Input!A:A,A615,Input!B:B))</f>
        <v/>
      </c>
      <c r="D615" s="25"/>
      <c r="E615" s="22" t="str">
        <f t="shared" si="2"/>
        <v xml:space="preserve"> </v>
      </c>
    </row>
    <row r="616" spans="1:5" ht="12.3">
      <c r="A616" s="26"/>
      <c r="B616" s="23" t="str">
        <f>IF(ISBLANK(A616)," ",VLOOKUP(A616,'Product Database'!A:B,2,FALSE))</f>
        <v xml:space="preserve"> </v>
      </c>
      <c r="C616" s="24" t="str">
        <f>IF(ISBLANK(A616),"",SUMIF(Input!A:A,A616,Input!B:B))</f>
        <v/>
      </c>
      <c r="D616" s="25"/>
      <c r="E616" s="22" t="str">
        <f t="shared" si="2"/>
        <v xml:space="preserve"> </v>
      </c>
    </row>
    <row r="617" spans="1:5" ht="12.3">
      <c r="A617" s="26"/>
      <c r="B617" s="23" t="str">
        <f>IF(ISBLANK(A617)," ",VLOOKUP(A617,'Product Database'!A:B,2,FALSE))</f>
        <v xml:space="preserve"> </v>
      </c>
      <c r="C617" s="24" t="str">
        <f>IF(ISBLANK(A617),"",SUMIF(Input!A:A,A617,Input!B:B))</f>
        <v/>
      </c>
      <c r="D617" s="25"/>
      <c r="E617" s="22" t="str">
        <f t="shared" si="2"/>
        <v xml:space="preserve"> </v>
      </c>
    </row>
    <row r="618" spans="1:5" ht="12.3">
      <c r="A618" s="26"/>
      <c r="B618" s="23" t="str">
        <f>IF(ISBLANK(A618)," ",VLOOKUP(A618,'Product Database'!A:B,2,FALSE))</f>
        <v xml:space="preserve"> </v>
      </c>
      <c r="C618" s="24" t="str">
        <f>IF(ISBLANK(A618),"",SUMIF(Input!A:A,A618,Input!B:B))</f>
        <v/>
      </c>
      <c r="D618" s="25"/>
      <c r="E618" s="22" t="str">
        <f t="shared" si="2"/>
        <v xml:space="preserve"> </v>
      </c>
    </row>
    <row r="619" spans="1:5" ht="12.3">
      <c r="A619" s="26"/>
      <c r="B619" s="23" t="str">
        <f>IF(ISBLANK(A619)," ",VLOOKUP(A619,'Product Database'!A:B,2,FALSE))</f>
        <v xml:space="preserve"> </v>
      </c>
      <c r="C619" s="24" t="str">
        <f>IF(ISBLANK(A619),"",SUMIF(Input!A:A,A619,Input!B:B))</f>
        <v/>
      </c>
      <c r="D619" s="25"/>
      <c r="E619" s="22" t="str">
        <f t="shared" si="2"/>
        <v xml:space="preserve"> </v>
      </c>
    </row>
    <row r="620" spans="1:5" ht="12.3">
      <c r="A620" s="26"/>
      <c r="B620" s="23" t="str">
        <f>IF(ISBLANK(A620)," ",VLOOKUP(A620,'Product Database'!A:B,2,FALSE))</f>
        <v xml:space="preserve"> </v>
      </c>
      <c r="C620" s="24" t="str">
        <f>IF(ISBLANK(A620),"",SUMIF(Input!A:A,A620,Input!B:B))</f>
        <v/>
      </c>
      <c r="D620" s="25"/>
      <c r="E620" s="22" t="str">
        <f t="shared" si="2"/>
        <v xml:space="preserve"> </v>
      </c>
    </row>
    <row r="621" spans="1:5" ht="12.3">
      <c r="A621" s="26"/>
      <c r="B621" s="23" t="str">
        <f>IF(ISBLANK(A621)," ",VLOOKUP(A621,'Product Database'!A:B,2,FALSE))</f>
        <v xml:space="preserve"> </v>
      </c>
      <c r="C621" s="24" t="str">
        <f>IF(ISBLANK(A621),"",SUMIF(Input!A:A,A621,Input!B:B))</f>
        <v/>
      </c>
      <c r="D621" s="25"/>
      <c r="E621" s="22" t="str">
        <f t="shared" si="2"/>
        <v xml:space="preserve"> </v>
      </c>
    </row>
    <row r="622" spans="1:5" ht="12.3">
      <c r="A622" s="26"/>
      <c r="B622" s="23" t="str">
        <f>IF(ISBLANK(A622)," ",VLOOKUP(A622,'Product Database'!A:B,2,FALSE))</f>
        <v xml:space="preserve"> </v>
      </c>
      <c r="C622" s="24" t="str">
        <f>IF(ISBLANK(A622),"",SUMIF(Input!A:A,A622,Input!B:B))</f>
        <v/>
      </c>
      <c r="D622" s="25"/>
      <c r="E622" s="22" t="str">
        <f t="shared" si="2"/>
        <v xml:space="preserve"> </v>
      </c>
    </row>
    <row r="623" spans="1:5" ht="12.3">
      <c r="A623" s="26"/>
      <c r="B623" s="23" t="str">
        <f>IF(ISBLANK(A623)," ",VLOOKUP(A623,'Product Database'!A:B,2,FALSE))</f>
        <v xml:space="preserve"> </v>
      </c>
      <c r="C623" s="24" t="str">
        <f>IF(ISBLANK(A623),"",SUMIF(Input!A:A,A623,Input!B:B))</f>
        <v/>
      </c>
      <c r="D623" s="25"/>
      <c r="E623" s="22" t="str">
        <f t="shared" si="2"/>
        <v xml:space="preserve"> </v>
      </c>
    </row>
    <row r="624" spans="1:5" ht="12.3">
      <c r="A624" s="26"/>
      <c r="B624" s="23" t="str">
        <f>IF(ISBLANK(A624)," ",VLOOKUP(A624,'Product Database'!A:B,2,FALSE))</f>
        <v xml:space="preserve"> </v>
      </c>
      <c r="C624" s="24" t="str">
        <f>IF(ISBLANK(A624),"",SUMIF(Input!A:A,A624,Input!B:B))</f>
        <v/>
      </c>
      <c r="D624" s="25"/>
      <c r="E624" s="22" t="str">
        <f t="shared" si="2"/>
        <v xml:space="preserve"> </v>
      </c>
    </row>
    <row r="625" spans="1:5" ht="12.3">
      <c r="A625" s="26"/>
      <c r="B625" s="23" t="str">
        <f>IF(ISBLANK(A625)," ",VLOOKUP(A625,'Product Database'!A:B,2,FALSE))</f>
        <v xml:space="preserve"> </v>
      </c>
      <c r="C625" s="24" t="str">
        <f>IF(ISBLANK(A625),"",SUMIF(Input!A:A,A625,Input!B:B))</f>
        <v/>
      </c>
      <c r="D625" s="25"/>
      <c r="E625" s="22" t="str">
        <f t="shared" si="2"/>
        <v xml:space="preserve"> </v>
      </c>
    </row>
    <row r="626" spans="1:5" ht="12.3">
      <c r="A626" s="26"/>
      <c r="B626" s="23" t="str">
        <f>IF(ISBLANK(A626)," ",VLOOKUP(A626,'Product Database'!A:B,2,FALSE))</f>
        <v xml:space="preserve"> </v>
      </c>
      <c r="C626" s="24" t="str">
        <f>IF(ISBLANK(A626),"",SUMIF(Input!A:A,A626,Input!B:B))</f>
        <v/>
      </c>
      <c r="D626" s="25"/>
      <c r="E626" s="22" t="str">
        <f t="shared" si="2"/>
        <v xml:space="preserve"> </v>
      </c>
    </row>
    <row r="627" spans="1:5" ht="12.3">
      <c r="A627" s="26"/>
      <c r="B627" s="23" t="str">
        <f>IF(ISBLANK(A627)," ",VLOOKUP(A627,'Product Database'!A:B,2,FALSE))</f>
        <v xml:space="preserve"> </v>
      </c>
      <c r="C627" s="24" t="str">
        <f>IF(ISBLANK(A627),"",SUMIF(Input!A:A,A627,Input!B:B))</f>
        <v/>
      </c>
      <c r="D627" s="25"/>
      <c r="E627" s="22" t="str">
        <f t="shared" si="2"/>
        <v xml:space="preserve"> </v>
      </c>
    </row>
    <row r="628" spans="1:5" ht="12.3">
      <c r="A628" s="26"/>
      <c r="B628" s="23" t="str">
        <f>IF(ISBLANK(A628)," ",VLOOKUP(A628,'Product Database'!A:B,2,FALSE))</f>
        <v xml:space="preserve"> </v>
      </c>
      <c r="C628" s="24" t="str">
        <f>IF(ISBLANK(A628),"",SUMIF(Input!A:A,A628,Input!B:B))</f>
        <v/>
      </c>
      <c r="D628" s="25"/>
      <c r="E628" s="22" t="str">
        <f t="shared" si="2"/>
        <v xml:space="preserve"> </v>
      </c>
    </row>
    <row r="629" spans="1:5" ht="12.3">
      <c r="A629" s="26"/>
      <c r="B629" s="23" t="str">
        <f>IF(ISBLANK(A629)," ",VLOOKUP(A629,'Product Database'!A:B,2,FALSE))</f>
        <v xml:space="preserve"> </v>
      </c>
      <c r="C629" s="24" t="str">
        <f>IF(ISBLANK(A629),"",SUMIF(Input!A:A,A629,Input!B:B))</f>
        <v/>
      </c>
      <c r="D629" s="25"/>
      <c r="E629" s="22" t="str">
        <f t="shared" si="2"/>
        <v xml:space="preserve"> </v>
      </c>
    </row>
    <row r="630" spans="1:5" ht="12.3">
      <c r="A630" s="26"/>
      <c r="B630" s="23" t="str">
        <f>IF(ISBLANK(A630)," ",VLOOKUP(A630,'Product Database'!A:B,2,FALSE))</f>
        <v xml:space="preserve"> </v>
      </c>
      <c r="C630" s="24" t="str">
        <f>IF(ISBLANK(A630),"",SUMIF(Input!A:A,A630,Input!B:B))</f>
        <v/>
      </c>
      <c r="D630" s="25"/>
      <c r="E630" s="22" t="str">
        <f t="shared" si="2"/>
        <v xml:space="preserve"> </v>
      </c>
    </row>
    <row r="631" spans="1:5" ht="12.3">
      <c r="A631" s="26"/>
      <c r="B631" s="23" t="str">
        <f>IF(ISBLANK(A631)," ",VLOOKUP(A631,'Product Database'!A:B,2,FALSE))</f>
        <v xml:space="preserve"> </v>
      </c>
      <c r="C631" s="24" t="str">
        <f>IF(ISBLANK(A631),"",SUMIF(Input!A:A,A631,Input!B:B))</f>
        <v/>
      </c>
      <c r="D631" s="25"/>
      <c r="E631" s="22" t="str">
        <f t="shared" si="2"/>
        <v xml:space="preserve"> </v>
      </c>
    </row>
    <row r="632" spans="1:5" ht="12.3">
      <c r="A632" s="26"/>
      <c r="B632" s="23" t="str">
        <f>IF(ISBLANK(A632)," ",VLOOKUP(A632,'Product Database'!A:B,2,FALSE))</f>
        <v xml:space="preserve"> </v>
      </c>
      <c r="C632" s="24" t="str">
        <f>IF(ISBLANK(A632),"",SUMIF(Input!A:A,A632,Input!B:B))</f>
        <v/>
      </c>
      <c r="D632" s="25"/>
      <c r="E632" s="22" t="str">
        <f t="shared" si="2"/>
        <v xml:space="preserve"> </v>
      </c>
    </row>
    <row r="633" spans="1:5" ht="12.3">
      <c r="A633" s="26"/>
      <c r="B633" s="23" t="str">
        <f>IF(ISBLANK(A633)," ",VLOOKUP(A633,'Product Database'!A:B,2,FALSE))</f>
        <v xml:space="preserve"> </v>
      </c>
      <c r="C633" s="24" t="str">
        <f>IF(ISBLANK(A633),"",SUMIF(Input!A:A,A633,Input!B:B))</f>
        <v/>
      </c>
      <c r="D633" s="25"/>
      <c r="E633" s="22" t="str">
        <f t="shared" si="2"/>
        <v xml:space="preserve"> </v>
      </c>
    </row>
    <row r="634" spans="1:5" ht="12.3">
      <c r="A634" s="26"/>
      <c r="B634" s="23" t="str">
        <f>IF(ISBLANK(A634)," ",VLOOKUP(A634,'Product Database'!A:B,2,FALSE))</f>
        <v xml:space="preserve"> </v>
      </c>
      <c r="C634" s="24" t="str">
        <f>IF(ISBLANK(A634),"",SUMIF(Input!A:A,A634,Input!B:B))</f>
        <v/>
      </c>
      <c r="D634" s="25"/>
      <c r="E634" s="22" t="str">
        <f t="shared" si="2"/>
        <v xml:space="preserve"> </v>
      </c>
    </row>
    <row r="635" spans="1:5" ht="12.3">
      <c r="A635" s="26"/>
      <c r="B635" s="23" t="str">
        <f>IF(ISBLANK(A635)," ",VLOOKUP(A635,'Product Database'!A:B,2,FALSE))</f>
        <v xml:space="preserve"> </v>
      </c>
      <c r="C635" s="24" t="str">
        <f>IF(ISBLANK(A635),"",SUMIF(Input!A:A,A635,Input!B:B))</f>
        <v/>
      </c>
      <c r="D635" s="25"/>
      <c r="E635" s="22" t="str">
        <f t="shared" si="2"/>
        <v xml:space="preserve"> </v>
      </c>
    </row>
    <row r="636" spans="1:5" ht="12.3">
      <c r="A636" s="26"/>
      <c r="B636" s="23" t="str">
        <f>IF(ISBLANK(A636)," ",VLOOKUP(A636,'Product Database'!A:B,2,FALSE))</f>
        <v xml:space="preserve"> </v>
      </c>
      <c r="C636" s="24" t="str">
        <f>IF(ISBLANK(A636),"",SUMIF(Input!A:A,A636,Input!B:B))</f>
        <v/>
      </c>
      <c r="D636" s="25"/>
      <c r="E636" s="22" t="str">
        <f t="shared" si="2"/>
        <v xml:space="preserve"> </v>
      </c>
    </row>
    <row r="637" spans="1:5" ht="12.3">
      <c r="A637" s="26"/>
      <c r="B637" s="23" t="str">
        <f>IF(ISBLANK(A637)," ",VLOOKUP(A637,'Product Database'!A:B,2,FALSE))</f>
        <v xml:space="preserve"> </v>
      </c>
      <c r="C637" s="24" t="str">
        <f>IF(ISBLANK(A637),"",SUMIF(Input!A:A,A637,Input!B:B))</f>
        <v/>
      </c>
      <c r="D637" s="25"/>
      <c r="E637" s="22" t="str">
        <f t="shared" si="2"/>
        <v xml:space="preserve"> </v>
      </c>
    </row>
    <row r="638" spans="1:5" ht="12.3">
      <c r="A638" s="26"/>
      <c r="B638" s="23" t="str">
        <f>IF(ISBLANK(A638)," ",VLOOKUP(A638,'Product Database'!A:B,2,FALSE))</f>
        <v xml:space="preserve"> </v>
      </c>
      <c r="C638" s="24" t="str">
        <f>IF(ISBLANK(A638),"",SUMIF(Input!A:A,A638,Input!B:B))</f>
        <v/>
      </c>
      <c r="D638" s="25"/>
      <c r="E638" s="22" t="str">
        <f t="shared" si="2"/>
        <v xml:space="preserve"> </v>
      </c>
    </row>
    <row r="639" spans="1:5" ht="12.3">
      <c r="A639" s="26"/>
      <c r="B639" s="23" t="str">
        <f>IF(ISBLANK(A639)," ",VLOOKUP(A639,'Product Database'!A:B,2,FALSE))</f>
        <v xml:space="preserve"> </v>
      </c>
      <c r="C639" s="24" t="str">
        <f>IF(ISBLANK(A639),"",SUMIF(Input!A:A,A639,Input!B:B))</f>
        <v/>
      </c>
      <c r="D639" s="25"/>
      <c r="E639" s="22" t="str">
        <f t="shared" si="2"/>
        <v xml:space="preserve"> </v>
      </c>
    </row>
    <row r="640" spans="1:5" ht="12.3">
      <c r="A640" s="26"/>
      <c r="B640" s="23" t="str">
        <f>IF(ISBLANK(A640)," ",VLOOKUP(A640,'Product Database'!A:B,2,FALSE))</f>
        <v xml:space="preserve"> </v>
      </c>
      <c r="C640" s="24" t="str">
        <f>IF(ISBLANK(A640),"",SUMIF(Input!A:A,A640,Input!B:B))</f>
        <v/>
      </c>
      <c r="D640" s="25"/>
      <c r="E640" s="22" t="str">
        <f t="shared" si="2"/>
        <v xml:space="preserve"> </v>
      </c>
    </row>
    <row r="641" spans="1:5" ht="12.3">
      <c r="A641" s="26"/>
      <c r="B641" s="23" t="str">
        <f>IF(ISBLANK(A641)," ",VLOOKUP(A641,'Product Database'!A:B,2,FALSE))</f>
        <v xml:space="preserve"> </v>
      </c>
      <c r="C641" s="24" t="str">
        <f>IF(ISBLANK(A641),"",SUMIF(Input!A:A,A641,Input!B:B))</f>
        <v/>
      </c>
      <c r="D641" s="25"/>
      <c r="E641" s="22" t="str">
        <f t="shared" si="2"/>
        <v xml:space="preserve"> </v>
      </c>
    </row>
    <row r="642" spans="1:5" ht="12.3">
      <c r="A642" s="26"/>
      <c r="B642" s="23" t="str">
        <f>IF(ISBLANK(A642)," ",VLOOKUP(A642,'Product Database'!A:B,2,FALSE))</f>
        <v xml:space="preserve"> </v>
      </c>
      <c r="C642" s="24" t="str">
        <f>IF(ISBLANK(A642),"",SUMIF(Input!A:A,A642,Input!B:B))</f>
        <v/>
      </c>
      <c r="D642" s="25"/>
      <c r="E642" s="22" t="str">
        <f t="shared" si="2"/>
        <v xml:space="preserve"> </v>
      </c>
    </row>
    <row r="643" spans="1:5" ht="12.3">
      <c r="A643" s="26"/>
      <c r="B643" s="23" t="str">
        <f>IF(ISBLANK(A643)," ",VLOOKUP(A643,'Product Database'!A:B,2,FALSE))</f>
        <v xml:space="preserve"> </v>
      </c>
      <c r="C643" s="24" t="str">
        <f>IF(ISBLANK(A643),"",SUMIF(Input!A:A,A643,Input!B:B))</f>
        <v/>
      </c>
      <c r="D643" s="25"/>
      <c r="E643" s="22" t="str">
        <f t="shared" si="2"/>
        <v xml:space="preserve"> </v>
      </c>
    </row>
    <row r="644" spans="1:5" ht="12.3">
      <c r="A644" s="26"/>
      <c r="B644" s="23" t="str">
        <f>IF(ISBLANK(A644)," ",VLOOKUP(A644,'Product Database'!A:B,2,FALSE))</f>
        <v xml:space="preserve"> </v>
      </c>
      <c r="C644" s="24" t="str">
        <f>IF(ISBLANK(A644),"",SUMIF(Input!A:A,A644,Input!B:B))</f>
        <v/>
      </c>
      <c r="D644" s="25"/>
      <c r="E644" s="22" t="str">
        <f t="shared" si="2"/>
        <v xml:space="preserve"> </v>
      </c>
    </row>
    <row r="645" spans="1:5" ht="12.3">
      <c r="A645" s="26"/>
      <c r="B645" s="23" t="str">
        <f>IF(ISBLANK(A645)," ",VLOOKUP(A645,'Product Database'!A:B,2,FALSE))</f>
        <v xml:space="preserve"> </v>
      </c>
      <c r="C645" s="24" t="str">
        <f>IF(ISBLANK(A645),"",SUMIF(Input!A:A,A645,Input!B:B))</f>
        <v/>
      </c>
      <c r="D645" s="25"/>
      <c r="E645" s="22" t="str">
        <f t="shared" si="2"/>
        <v xml:space="preserve"> </v>
      </c>
    </row>
    <row r="646" spans="1:5" ht="12.3">
      <c r="A646" s="26"/>
      <c r="B646" s="23" t="str">
        <f>IF(ISBLANK(A646)," ",VLOOKUP(A646,'Product Database'!A:B,2,FALSE))</f>
        <v xml:space="preserve"> </v>
      </c>
      <c r="C646" s="24" t="str">
        <f>IF(ISBLANK(A646),"",SUMIF(Input!A:A,A646,Input!B:B))</f>
        <v/>
      </c>
      <c r="D646" s="25"/>
      <c r="E646" s="22" t="str">
        <f t="shared" si="2"/>
        <v xml:space="preserve"> </v>
      </c>
    </row>
    <row r="647" spans="1:5" ht="12.3">
      <c r="A647" s="26"/>
      <c r="B647" s="23" t="str">
        <f>IF(ISBLANK(A647)," ",VLOOKUP(A647,'Product Database'!A:B,2,FALSE))</f>
        <v xml:space="preserve"> </v>
      </c>
      <c r="C647" s="24" t="str">
        <f>IF(ISBLANK(A647),"",SUMIF(Input!A:A,A647,Input!B:B))</f>
        <v/>
      </c>
      <c r="D647" s="25"/>
      <c r="E647" s="22" t="str">
        <f t="shared" si="2"/>
        <v xml:space="preserve"> </v>
      </c>
    </row>
    <row r="648" spans="1:5" ht="12.3">
      <c r="A648" s="26"/>
      <c r="B648" s="23" t="str">
        <f>IF(ISBLANK(A648)," ",VLOOKUP(A648,'Product Database'!A:B,2,FALSE))</f>
        <v xml:space="preserve"> </v>
      </c>
      <c r="C648" s="24" t="str">
        <f>IF(ISBLANK(A648),"",SUMIF(Input!A:A,A648,Input!B:B))</f>
        <v/>
      </c>
      <c r="D648" s="25"/>
      <c r="E648" s="22" t="str">
        <f t="shared" si="2"/>
        <v xml:space="preserve"> </v>
      </c>
    </row>
    <row r="649" spans="1:5" ht="12.3">
      <c r="A649" s="26"/>
      <c r="B649" s="23" t="str">
        <f>IF(ISBLANK(A649)," ",VLOOKUP(A649,'Product Database'!A:B,2,FALSE))</f>
        <v xml:space="preserve"> </v>
      </c>
      <c r="C649" s="24" t="str">
        <f>IF(ISBLANK(A649),"",SUMIF(Input!A:A,A649,Input!B:B))</f>
        <v/>
      </c>
      <c r="D649" s="25"/>
      <c r="E649" s="22" t="str">
        <f t="shared" si="2"/>
        <v xml:space="preserve"> </v>
      </c>
    </row>
    <row r="650" spans="1:5" ht="12.3">
      <c r="A650" s="26"/>
      <c r="B650" s="23" t="str">
        <f>IF(ISBLANK(A650)," ",VLOOKUP(A650,'Product Database'!A:B,2,FALSE))</f>
        <v xml:space="preserve"> </v>
      </c>
      <c r="C650" s="24" t="str">
        <f>IF(ISBLANK(A650),"",SUMIF(Input!A:A,A650,Input!B:B))</f>
        <v/>
      </c>
      <c r="D650" s="25"/>
      <c r="E650" s="22" t="str">
        <f t="shared" si="2"/>
        <v xml:space="preserve"> </v>
      </c>
    </row>
    <row r="651" spans="1:5" ht="12.3">
      <c r="A651" s="26"/>
      <c r="B651" s="23" t="str">
        <f>IF(ISBLANK(A651)," ",VLOOKUP(A651,'Product Database'!A:B,2,FALSE))</f>
        <v xml:space="preserve"> </v>
      </c>
      <c r="C651" s="24" t="str">
        <f>IF(ISBLANK(A651),"",SUMIF(Input!A:A,A651,Input!B:B))</f>
        <v/>
      </c>
      <c r="D651" s="25"/>
      <c r="E651" s="22" t="str">
        <f t="shared" si="2"/>
        <v xml:space="preserve"> </v>
      </c>
    </row>
    <row r="652" spans="1:5" ht="12.3">
      <c r="A652" s="26"/>
      <c r="B652" s="23" t="str">
        <f>IF(ISBLANK(A652)," ",VLOOKUP(A652,'Product Database'!A:B,2,FALSE))</f>
        <v xml:space="preserve"> </v>
      </c>
      <c r="C652" s="24" t="str">
        <f>IF(ISBLANK(A652),"",SUMIF(Input!A:A,A652,Input!B:B))</f>
        <v/>
      </c>
      <c r="D652" s="25"/>
      <c r="E652" s="22" t="str">
        <f t="shared" si="2"/>
        <v xml:space="preserve"> </v>
      </c>
    </row>
    <row r="653" spans="1:5" ht="12.3">
      <c r="A653" s="26"/>
      <c r="B653" s="23" t="str">
        <f>IF(ISBLANK(A653)," ",VLOOKUP(A653,'Product Database'!A:B,2,FALSE))</f>
        <v xml:space="preserve"> </v>
      </c>
      <c r="C653" s="24" t="str">
        <f>IF(ISBLANK(A653),"",SUMIF(Input!A:A,A653,Input!B:B))</f>
        <v/>
      </c>
      <c r="D653" s="25"/>
      <c r="E653" s="22" t="str">
        <f t="shared" si="2"/>
        <v xml:space="preserve"> </v>
      </c>
    </row>
    <row r="654" spans="1:5" ht="12.3">
      <c r="A654" s="26"/>
      <c r="B654" s="23" t="str">
        <f>IF(ISBLANK(A654)," ",VLOOKUP(A654,'Product Database'!A:B,2,FALSE))</f>
        <v xml:space="preserve"> </v>
      </c>
      <c r="C654" s="24" t="str">
        <f>IF(ISBLANK(A654),"",SUMIF(Input!A:A,A654,Input!B:B))</f>
        <v/>
      </c>
      <c r="D654" s="25"/>
      <c r="E654" s="22" t="str">
        <f t="shared" si="2"/>
        <v xml:space="preserve"> </v>
      </c>
    </row>
    <row r="655" spans="1:5" ht="12.3">
      <c r="A655" s="26"/>
      <c r="B655" s="23" t="str">
        <f>IF(ISBLANK(A655)," ",VLOOKUP(A655,'Product Database'!A:B,2,FALSE))</f>
        <v xml:space="preserve"> </v>
      </c>
      <c r="C655" s="24" t="str">
        <f>IF(ISBLANK(A655),"",SUMIF(Input!A:A,A655,Input!B:B))</f>
        <v/>
      </c>
      <c r="D655" s="25"/>
      <c r="E655" s="22" t="str">
        <f t="shared" si="2"/>
        <v xml:space="preserve"> </v>
      </c>
    </row>
    <row r="656" spans="1:5" ht="12.3">
      <c r="A656" s="26"/>
      <c r="B656" s="23" t="str">
        <f>IF(ISBLANK(A656)," ",VLOOKUP(A656,'Product Database'!A:B,2,FALSE))</f>
        <v xml:space="preserve"> </v>
      </c>
      <c r="C656" s="24" t="str">
        <f>IF(ISBLANK(A656),"",SUMIF(Input!A:A,A656,Input!B:B))</f>
        <v/>
      </c>
      <c r="D656" s="25"/>
      <c r="E656" s="22" t="str">
        <f t="shared" si="2"/>
        <v xml:space="preserve"> </v>
      </c>
    </row>
    <row r="657" spans="1:5" ht="12.3">
      <c r="A657" s="26"/>
      <c r="B657" s="23" t="str">
        <f>IF(ISBLANK(A657)," ",VLOOKUP(A657,'Product Database'!A:B,2,FALSE))</f>
        <v xml:space="preserve"> </v>
      </c>
      <c r="C657" s="24" t="str">
        <f>IF(ISBLANK(A657),"",SUMIF(Input!A:A,A657,Input!B:B))</f>
        <v/>
      </c>
      <c r="D657" s="25"/>
      <c r="E657" s="22" t="str">
        <f t="shared" si="2"/>
        <v xml:space="preserve"> </v>
      </c>
    </row>
    <row r="658" spans="1:5" ht="12.3">
      <c r="A658" s="26"/>
      <c r="B658" s="23" t="str">
        <f>IF(ISBLANK(A658)," ",VLOOKUP(A658,'Product Database'!A:B,2,FALSE))</f>
        <v xml:space="preserve"> </v>
      </c>
      <c r="C658" s="24" t="str">
        <f>IF(ISBLANK(A658),"",SUMIF(Input!A:A,A658,Input!B:B))</f>
        <v/>
      </c>
      <c r="D658" s="25"/>
      <c r="E658" s="22" t="str">
        <f t="shared" si="2"/>
        <v xml:space="preserve"> </v>
      </c>
    </row>
    <row r="659" spans="1:5" ht="12.3">
      <c r="A659" s="26"/>
      <c r="B659" s="23" t="str">
        <f>IF(ISBLANK(A659)," ",VLOOKUP(A659,'Product Database'!A:B,2,FALSE))</f>
        <v xml:space="preserve"> </v>
      </c>
      <c r="C659" s="24" t="str">
        <f>IF(ISBLANK(A659),"",SUMIF(Input!A:A,A659,Input!B:B))</f>
        <v/>
      </c>
      <c r="D659" s="25"/>
      <c r="E659" s="22" t="str">
        <f t="shared" si="2"/>
        <v xml:space="preserve"> </v>
      </c>
    </row>
    <row r="660" spans="1:5" ht="12.3">
      <c r="A660" s="26"/>
      <c r="B660" s="23" t="str">
        <f>IF(ISBLANK(A660)," ",VLOOKUP(A660,'Product Database'!A:B,2,FALSE))</f>
        <v xml:space="preserve"> </v>
      </c>
      <c r="C660" s="24" t="str">
        <f>IF(ISBLANK(A660),"",SUMIF(Input!A:A,A660,Input!B:B))</f>
        <v/>
      </c>
      <c r="D660" s="25"/>
      <c r="E660" s="22" t="str">
        <f t="shared" si="2"/>
        <v xml:space="preserve"> </v>
      </c>
    </row>
    <row r="661" spans="1:5" ht="12.3">
      <c r="A661" s="26"/>
      <c r="B661" s="23" t="str">
        <f>IF(ISBLANK(A661)," ",VLOOKUP(A661,'Product Database'!A:B,2,FALSE))</f>
        <v xml:space="preserve"> </v>
      </c>
      <c r="C661" s="24" t="str">
        <f>IF(ISBLANK(A661),"",SUMIF(Input!A:A,A661,Input!B:B))</f>
        <v/>
      </c>
      <c r="D661" s="25"/>
      <c r="E661" s="22" t="str">
        <f t="shared" si="2"/>
        <v xml:space="preserve"> </v>
      </c>
    </row>
    <row r="662" spans="1:5" ht="12.3">
      <c r="A662" s="26"/>
      <c r="B662" s="23" t="str">
        <f>IF(ISBLANK(A662)," ",VLOOKUP(A662,'Product Database'!A:B,2,FALSE))</f>
        <v xml:space="preserve"> </v>
      </c>
      <c r="C662" s="24" t="str">
        <f>IF(ISBLANK(A662),"",SUMIF(Input!A:A,A662,Input!B:B))</f>
        <v/>
      </c>
      <c r="D662" s="25"/>
      <c r="E662" s="22" t="str">
        <f t="shared" si="2"/>
        <v xml:space="preserve"> </v>
      </c>
    </row>
    <row r="663" spans="1:5" ht="12.3">
      <c r="A663" s="26"/>
      <c r="B663" s="23" t="str">
        <f>IF(ISBLANK(A663)," ",VLOOKUP(A663,'Product Database'!A:B,2,FALSE))</f>
        <v xml:space="preserve"> </v>
      </c>
      <c r="C663" s="24" t="str">
        <f>IF(ISBLANK(A663),"",SUMIF(Input!A:A,A663,Input!B:B))</f>
        <v/>
      </c>
      <c r="D663" s="25"/>
      <c r="E663" s="22" t="str">
        <f t="shared" si="2"/>
        <v xml:space="preserve"> </v>
      </c>
    </row>
    <row r="664" spans="1:5" ht="12.3">
      <c r="A664" s="26"/>
      <c r="B664" s="23" t="str">
        <f>IF(ISBLANK(A664)," ",VLOOKUP(A664,'Product Database'!A:B,2,FALSE))</f>
        <v xml:space="preserve"> </v>
      </c>
      <c r="C664" s="24" t="str">
        <f>IF(ISBLANK(A664),"",SUMIF(Input!A:A,A664,Input!B:B))</f>
        <v/>
      </c>
      <c r="D664" s="25"/>
      <c r="E664" s="22" t="str">
        <f t="shared" si="2"/>
        <v xml:space="preserve"> </v>
      </c>
    </row>
    <row r="665" spans="1:5" ht="12.3">
      <c r="A665" s="26"/>
      <c r="B665" s="23" t="str">
        <f>IF(ISBLANK(A665)," ",VLOOKUP(A665,'Product Database'!A:B,2,FALSE))</f>
        <v xml:space="preserve"> </v>
      </c>
      <c r="C665" s="24" t="str">
        <f>IF(ISBLANK(A665),"",SUMIF(Input!A:A,A665,Input!B:B))</f>
        <v/>
      </c>
      <c r="D665" s="25"/>
      <c r="E665" s="22" t="str">
        <f t="shared" si="2"/>
        <v xml:space="preserve"> </v>
      </c>
    </row>
    <row r="666" spans="1:5" ht="12.3">
      <c r="A666" s="26"/>
      <c r="B666" s="23" t="str">
        <f>IF(ISBLANK(A666)," ",VLOOKUP(A666,'Product Database'!A:B,2,FALSE))</f>
        <v xml:space="preserve"> </v>
      </c>
      <c r="C666" s="24" t="str">
        <f>IF(ISBLANK(A666),"",SUMIF(Input!A:A,A666,Input!B:B))</f>
        <v/>
      </c>
      <c r="D666" s="25"/>
      <c r="E666" s="22" t="str">
        <f t="shared" si="2"/>
        <v xml:space="preserve"> </v>
      </c>
    </row>
    <row r="667" spans="1:5" ht="12.3">
      <c r="A667" s="26"/>
      <c r="B667" s="23" t="str">
        <f>IF(ISBLANK(A667)," ",VLOOKUP(A667,'Product Database'!A:B,2,FALSE))</f>
        <v xml:space="preserve"> </v>
      </c>
      <c r="C667" s="24" t="str">
        <f>IF(ISBLANK(A667),"",SUMIF(Input!A:A,A667,Input!B:B))</f>
        <v/>
      </c>
      <c r="D667" s="25"/>
      <c r="E667" s="22" t="str">
        <f t="shared" si="2"/>
        <v xml:space="preserve"> </v>
      </c>
    </row>
    <row r="668" spans="1:5" ht="12.3">
      <c r="A668" s="26"/>
      <c r="B668" s="23" t="str">
        <f>IF(ISBLANK(A668)," ",VLOOKUP(A668,'Product Database'!A:B,2,FALSE))</f>
        <v xml:space="preserve"> </v>
      </c>
      <c r="C668" s="24" t="str">
        <f>IF(ISBLANK(A668),"",SUMIF(Input!A:A,A668,Input!B:B))</f>
        <v/>
      </c>
      <c r="D668" s="25"/>
      <c r="E668" s="22" t="str">
        <f t="shared" si="2"/>
        <v xml:space="preserve"> </v>
      </c>
    </row>
    <row r="669" spans="1:5" ht="12.3">
      <c r="A669" s="26"/>
      <c r="B669" s="23" t="str">
        <f>IF(ISBLANK(A669)," ",VLOOKUP(A669,'Product Database'!A:B,2,FALSE))</f>
        <v xml:space="preserve"> </v>
      </c>
      <c r="C669" s="24" t="str">
        <f>IF(ISBLANK(A669),"",SUMIF(Input!A:A,A669,Input!B:B))</f>
        <v/>
      </c>
      <c r="D669" s="25"/>
      <c r="E669" s="22" t="str">
        <f t="shared" si="2"/>
        <v xml:space="preserve"> </v>
      </c>
    </row>
    <row r="670" spans="1:5" ht="12.3">
      <c r="A670" s="26"/>
      <c r="B670" s="23" t="str">
        <f>IF(ISBLANK(A670)," ",VLOOKUP(A670,'Product Database'!A:B,2,FALSE))</f>
        <v xml:space="preserve"> </v>
      </c>
      <c r="C670" s="24" t="str">
        <f>IF(ISBLANK(A670),"",SUMIF(Input!A:A,A670,Input!B:B))</f>
        <v/>
      </c>
      <c r="D670" s="25"/>
      <c r="E670" s="22" t="str">
        <f t="shared" si="2"/>
        <v xml:space="preserve"> </v>
      </c>
    </row>
    <row r="671" spans="1:5" ht="12.3">
      <c r="A671" s="26"/>
      <c r="B671" s="23" t="str">
        <f>IF(ISBLANK(A671)," ",VLOOKUP(A671,'Product Database'!A:B,2,FALSE))</f>
        <v xml:space="preserve"> </v>
      </c>
      <c r="C671" s="24" t="str">
        <f>IF(ISBLANK(A671),"",SUMIF(Input!A:A,A671,Input!B:B))</f>
        <v/>
      </c>
      <c r="D671" s="25"/>
      <c r="E671" s="22" t="str">
        <f t="shared" si="2"/>
        <v xml:space="preserve"> </v>
      </c>
    </row>
    <row r="672" spans="1:5" ht="12.3">
      <c r="A672" s="26"/>
      <c r="B672" s="23" t="str">
        <f>IF(ISBLANK(A672)," ",VLOOKUP(A672,'Product Database'!A:B,2,FALSE))</f>
        <v xml:space="preserve"> </v>
      </c>
      <c r="C672" s="24" t="str">
        <f>IF(ISBLANK(A672),"",SUMIF(Input!A:A,A672,Input!B:B))</f>
        <v/>
      </c>
      <c r="D672" s="25"/>
      <c r="E672" s="22" t="str">
        <f t="shared" si="2"/>
        <v xml:space="preserve"> </v>
      </c>
    </row>
    <row r="673" spans="1:5" ht="12.3">
      <c r="A673" s="26"/>
      <c r="B673" s="23" t="str">
        <f>IF(ISBLANK(A673)," ",VLOOKUP(A673,'Product Database'!A:B,2,FALSE))</f>
        <v xml:space="preserve"> </v>
      </c>
      <c r="C673" s="24" t="str">
        <f>IF(ISBLANK(A673),"",SUMIF(Input!A:A,A673,Input!B:B))</f>
        <v/>
      </c>
      <c r="D673" s="25"/>
      <c r="E673" s="22" t="str">
        <f t="shared" si="2"/>
        <v xml:space="preserve"> </v>
      </c>
    </row>
    <row r="674" spans="1:5" ht="12.3">
      <c r="A674" s="26"/>
      <c r="B674" s="23" t="str">
        <f>IF(ISBLANK(A674)," ",VLOOKUP(A674,'Product Database'!A:B,2,FALSE))</f>
        <v xml:space="preserve"> </v>
      </c>
      <c r="C674" s="24" t="str">
        <f>IF(ISBLANK(A674),"",SUMIF(Input!A:A,A674,Input!B:B))</f>
        <v/>
      </c>
      <c r="D674" s="25"/>
      <c r="E674" s="22" t="str">
        <f t="shared" si="2"/>
        <v xml:space="preserve"> </v>
      </c>
    </row>
    <row r="675" spans="1:5" ht="12.3">
      <c r="A675" s="26"/>
      <c r="B675" s="23" t="str">
        <f>IF(ISBLANK(A675)," ",VLOOKUP(A675,'Product Database'!A:B,2,FALSE))</f>
        <v xml:space="preserve"> </v>
      </c>
      <c r="C675" s="24" t="str">
        <f>IF(ISBLANK(A675),"",SUMIF(Input!A:A,A675,Input!B:B))</f>
        <v/>
      </c>
      <c r="D675" s="25"/>
      <c r="E675" s="22" t="str">
        <f t="shared" si="2"/>
        <v xml:space="preserve"> </v>
      </c>
    </row>
    <row r="676" spans="1:5" ht="12.3">
      <c r="A676" s="26"/>
      <c r="B676" s="23" t="str">
        <f>IF(ISBLANK(A676)," ",VLOOKUP(A676,'Product Database'!A:B,2,FALSE))</f>
        <v xml:space="preserve"> </v>
      </c>
      <c r="C676" s="24" t="str">
        <f>IF(ISBLANK(A676),"",SUMIF(Input!A:A,A676,Input!B:B))</f>
        <v/>
      </c>
      <c r="D676" s="25"/>
      <c r="E676" s="22" t="str">
        <f t="shared" si="2"/>
        <v xml:space="preserve"> </v>
      </c>
    </row>
    <row r="677" spans="1:5" ht="12.3">
      <c r="A677" s="26"/>
      <c r="B677" s="23" t="str">
        <f>IF(ISBLANK(A677)," ",VLOOKUP(A677,'Product Database'!A:B,2,FALSE))</f>
        <v xml:space="preserve"> </v>
      </c>
      <c r="C677" s="24" t="str">
        <f>IF(ISBLANK(A677),"",SUMIF(Input!A:A,A677,Input!B:B))</f>
        <v/>
      </c>
      <c r="D677" s="25"/>
      <c r="E677" s="22" t="str">
        <f t="shared" si="2"/>
        <v xml:space="preserve"> </v>
      </c>
    </row>
    <row r="678" spans="1:5" ht="12.3">
      <c r="A678" s="26"/>
      <c r="B678" s="23" t="str">
        <f>IF(ISBLANK(A678)," ",VLOOKUP(A678,'Product Database'!A:B,2,FALSE))</f>
        <v xml:space="preserve"> </v>
      </c>
      <c r="C678" s="24" t="str">
        <f>IF(ISBLANK(A678),"",SUMIF(Input!A:A,A678,Input!B:B))</f>
        <v/>
      </c>
      <c r="D678" s="25"/>
      <c r="E678" s="22" t="str">
        <f t="shared" si="2"/>
        <v xml:space="preserve"> </v>
      </c>
    </row>
    <row r="679" spans="1:5" ht="12.3">
      <c r="A679" s="26"/>
      <c r="B679" s="23" t="str">
        <f>IF(ISBLANK(A679)," ",VLOOKUP(A679,'Product Database'!A:B,2,FALSE))</f>
        <v xml:space="preserve"> </v>
      </c>
      <c r="C679" s="24" t="str">
        <f>IF(ISBLANK(A679),"",SUMIF(Input!A:A,A679,Input!B:B))</f>
        <v/>
      </c>
      <c r="D679" s="25"/>
      <c r="E679" s="22" t="str">
        <f t="shared" si="2"/>
        <v xml:space="preserve"> </v>
      </c>
    </row>
    <row r="680" spans="1:5" ht="12.3">
      <c r="A680" s="26"/>
      <c r="B680" s="23" t="str">
        <f>IF(ISBLANK(A680)," ",VLOOKUP(A680,'Product Database'!A:B,2,FALSE))</f>
        <v xml:space="preserve"> </v>
      </c>
      <c r="C680" s="24" t="str">
        <f>IF(ISBLANK(A680),"",SUMIF(Input!A:A,A680,Input!B:B))</f>
        <v/>
      </c>
      <c r="D680" s="25"/>
      <c r="E680" s="22" t="str">
        <f t="shared" si="2"/>
        <v xml:space="preserve"> </v>
      </c>
    </row>
    <row r="681" spans="1:5" ht="12.3">
      <c r="A681" s="26"/>
      <c r="B681" s="23" t="str">
        <f>IF(ISBLANK(A681)," ",VLOOKUP(A681,'Product Database'!A:B,2,FALSE))</f>
        <v xml:space="preserve"> </v>
      </c>
      <c r="C681" s="24" t="str">
        <f>IF(ISBLANK(A681),"",SUMIF(Input!A:A,A681,Input!B:B))</f>
        <v/>
      </c>
      <c r="D681" s="25"/>
      <c r="E681" s="22" t="str">
        <f t="shared" si="2"/>
        <v xml:space="preserve"> </v>
      </c>
    </row>
    <row r="682" spans="1:5" ht="12.3">
      <c r="A682" s="26"/>
      <c r="B682" s="23" t="str">
        <f>IF(ISBLANK(A682)," ",VLOOKUP(A682,'Product Database'!A:B,2,FALSE))</f>
        <v xml:space="preserve"> </v>
      </c>
      <c r="C682" s="24" t="str">
        <f>IF(ISBLANK(A682),"",SUMIF(Input!A:A,A682,Input!B:B))</f>
        <v/>
      </c>
      <c r="D682" s="25"/>
      <c r="E682" s="22" t="str">
        <f t="shared" si="2"/>
        <v xml:space="preserve"> </v>
      </c>
    </row>
    <row r="683" spans="1:5" ht="12.3">
      <c r="A683" s="26"/>
      <c r="B683" s="23" t="str">
        <f>IF(ISBLANK(A683)," ",VLOOKUP(A683,'Product Database'!A:B,2,FALSE))</f>
        <v xml:space="preserve"> </v>
      </c>
      <c r="C683" s="24" t="str">
        <f>IF(ISBLANK(A683),"",SUMIF(Input!A:A,A683,Input!B:B))</f>
        <v/>
      </c>
      <c r="D683" s="25"/>
      <c r="E683" s="22" t="str">
        <f t="shared" si="2"/>
        <v xml:space="preserve"> </v>
      </c>
    </row>
    <row r="684" spans="1:5" ht="12.3">
      <c r="A684" s="26"/>
      <c r="B684" s="23" t="str">
        <f>IF(ISBLANK(A684)," ",VLOOKUP(A684,'Product Database'!A:B,2,FALSE))</f>
        <v xml:space="preserve"> </v>
      </c>
      <c r="C684" s="24" t="str">
        <f>IF(ISBLANK(A684),"",SUMIF(Input!A:A,A684,Input!B:B))</f>
        <v/>
      </c>
      <c r="D684" s="25"/>
      <c r="E684" s="22" t="str">
        <f t="shared" si="2"/>
        <v xml:space="preserve"> </v>
      </c>
    </row>
    <row r="685" spans="1:5" ht="12.3">
      <c r="A685" s="26"/>
      <c r="B685" s="23" t="str">
        <f>IF(ISBLANK(A685)," ",VLOOKUP(A685,'Product Database'!A:B,2,FALSE))</f>
        <v xml:space="preserve"> </v>
      </c>
      <c r="C685" s="24" t="str">
        <f>IF(ISBLANK(A685),"",SUMIF(Input!A:A,A685,Input!B:B))</f>
        <v/>
      </c>
      <c r="D685" s="25"/>
      <c r="E685" s="22" t="str">
        <f t="shared" si="2"/>
        <v xml:space="preserve"> </v>
      </c>
    </row>
    <row r="686" spans="1:5" ht="12.3">
      <c r="A686" s="26"/>
      <c r="B686" s="23" t="str">
        <f>IF(ISBLANK(A686)," ",VLOOKUP(A686,'Product Database'!A:B,2,FALSE))</f>
        <v xml:space="preserve"> </v>
      </c>
      <c r="C686" s="24" t="str">
        <f>IF(ISBLANK(A686),"",SUMIF(Input!A:A,A686,Input!B:B))</f>
        <v/>
      </c>
      <c r="D686" s="25"/>
      <c r="E686" s="22" t="str">
        <f t="shared" si="2"/>
        <v xml:space="preserve"> </v>
      </c>
    </row>
    <row r="687" spans="1:5" ht="12.3">
      <c r="A687" s="26"/>
      <c r="B687" s="23" t="str">
        <f>IF(ISBLANK(A687)," ",VLOOKUP(A687,'Product Database'!A:B,2,FALSE))</f>
        <v xml:space="preserve"> </v>
      </c>
      <c r="C687" s="24" t="str">
        <f>IF(ISBLANK(A687),"",SUMIF(Input!A:A,A687,Input!B:B))</f>
        <v/>
      </c>
      <c r="D687" s="25"/>
      <c r="E687" s="22" t="str">
        <f t="shared" si="2"/>
        <v xml:space="preserve"> </v>
      </c>
    </row>
    <row r="688" spans="1:5" ht="12.3">
      <c r="A688" s="26"/>
      <c r="B688" s="23" t="str">
        <f>IF(ISBLANK(A688)," ",VLOOKUP(A688,'Product Database'!A:B,2,FALSE))</f>
        <v xml:space="preserve"> </v>
      </c>
      <c r="C688" s="24" t="str">
        <f>IF(ISBLANK(A688),"",SUMIF(Input!A:A,A688,Input!B:B))</f>
        <v/>
      </c>
      <c r="D688" s="25"/>
      <c r="E688" s="22" t="str">
        <f t="shared" si="2"/>
        <v xml:space="preserve"> </v>
      </c>
    </row>
    <row r="689" spans="1:5" ht="12.3">
      <c r="A689" s="26"/>
      <c r="B689" s="23" t="str">
        <f>IF(ISBLANK(A689)," ",VLOOKUP(A689,'Product Database'!A:B,2,FALSE))</f>
        <v xml:space="preserve"> </v>
      </c>
      <c r="C689" s="24" t="str">
        <f>IF(ISBLANK(A689),"",SUMIF(Input!A:A,A689,Input!B:B))</f>
        <v/>
      </c>
      <c r="D689" s="25"/>
      <c r="E689" s="22" t="str">
        <f t="shared" si="2"/>
        <v xml:space="preserve"> </v>
      </c>
    </row>
    <row r="690" spans="1:5" ht="12.3">
      <c r="A690" s="26"/>
      <c r="B690" s="23" t="str">
        <f>IF(ISBLANK(A690)," ",VLOOKUP(A690,'Product Database'!A:B,2,FALSE))</f>
        <v xml:space="preserve"> </v>
      </c>
      <c r="C690" s="24" t="str">
        <f>IF(ISBLANK(A690),"",SUMIF(Input!A:A,A690,Input!B:B))</f>
        <v/>
      </c>
      <c r="D690" s="25"/>
      <c r="E690" s="22" t="str">
        <f t="shared" si="2"/>
        <v xml:space="preserve"> </v>
      </c>
    </row>
    <row r="691" spans="1:5" ht="12.3">
      <c r="A691" s="26"/>
      <c r="B691" s="23" t="str">
        <f>IF(ISBLANK(A691)," ",VLOOKUP(A691,'Product Database'!A:B,2,FALSE))</f>
        <v xml:space="preserve"> </v>
      </c>
      <c r="C691" s="24" t="str">
        <f>IF(ISBLANK(A691),"",SUMIF(Input!A:A,A691,Input!B:B))</f>
        <v/>
      </c>
      <c r="D691" s="25"/>
      <c r="E691" s="22" t="str">
        <f t="shared" si="2"/>
        <v xml:space="preserve"> </v>
      </c>
    </row>
    <row r="692" spans="1:5" ht="12.3">
      <c r="A692" s="26"/>
      <c r="B692" s="23" t="str">
        <f>IF(ISBLANK(A692)," ",VLOOKUP(A692,'Product Database'!A:B,2,FALSE))</f>
        <v xml:space="preserve"> </v>
      </c>
      <c r="C692" s="24" t="str">
        <f>IF(ISBLANK(A692),"",SUMIF(Input!A:A,A692,Input!B:B))</f>
        <v/>
      </c>
      <c r="D692" s="25"/>
      <c r="E692" s="22" t="str">
        <f t="shared" si="2"/>
        <v xml:space="preserve"> </v>
      </c>
    </row>
    <row r="693" spans="1:5" ht="12.3">
      <c r="A693" s="26"/>
      <c r="B693" s="23" t="str">
        <f>IF(ISBLANK(A693)," ",VLOOKUP(A693,'Product Database'!A:B,2,FALSE))</f>
        <v xml:space="preserve"> </v>
      </c>
      <c r="C693" s="24" t="str">
        <f>IF(ISBLANK(A693),"",SUMIF(Input!A:A,A693,Input!B:B))</f>
        <v/>
      </c>
      <c r="D693" s="25"/>
      <c r="E693" s="22" t="str">
        <f t="shared" si="2"/>
        <v xml:space="preserve"> </v>
      </c>
    </row>
    <row r="694" spans="1:5" ht="12.3">
      <c r="A694" s="26"/>
      <c r="B694" s="23" t="str">
        <f>IF(ISBLANK(A694)," ",VLOOKUP(A694,'Product Database'!A:B,2,FALSE))</f>
        <v xml:space="preserve"> </v>
      </c>
      <c r="C694" s="24" t="str">
        <f>IF(ISBLANK(A694),"",SUMIF(Input!A:A,A694,Input!B:B))</f>
        <v/>
      </c>
      <c r="D694" s="25"/>
      <c r="E694" s="22" t="str">
        <f t="shared" si="2"/>
        <v xml:space="preserve"> </v>
      </c>
    </row>
    <row r="695" spans="1:5" ht="12.3">
      <c r="A695" s="26"/>
      <c r="B695" s="23" t="str">
        <f>IF(ISBLANK(A695)," ",VLOOKUP(A695,'Product Database'!A:B,2,FALSE))</f>
        <v xml:space="preserve"> </v>
      </c>
      <c r="C695" s="24" t="str">
        <f>IF(ISBLANK(A695),"",SUMIF(Input!A:A,A695,Input!B:B))</f>
        <v/>
      </c>
      <c r="D695" s="25"/>
      <c r="E695" s="22" t="str">
        <f t="shared" si="2"/>
        <v xml:space="preserve"> </v>
      </c>
    </row>
    <row r="696" spans="1:5" ht="12.3">
      <c r="A696" s="26"/>
      <c r="B696" s="23" t="str">
        <f>IF(ISBLANK(A696)," ",VLOOKUP(A696,'Product Database'!A:B,2,FALSE))</f>
        <v xml:space="preserve"> </v>
      </c>
      <c r="C696" s="24" t="str">
        <f>IF(ISBLANK(A696),"",SUMIF(Input!A:A,A696,Input!B:B))</f>
        <v/>
      </c>
      <c r="D696" s="25"/>
      <c r="E696" s="22" t="str">
        <f t="shared" si="2"/>
        <v xml:space="preserve"> </v>
      </c>
    </row>
    <row r="697" spans="1:5" ht="12.3">
      <c r="A697" s="26"/>
      <c r="B697" s="23" t="str">
        <f>IF(ISBLANK(A697)," ",VLOOKUP(A697,'Product Database'!A:B,2,FALSE))</f>
        <v xml:space="preserve"> </v>
      </c>
      <c r="C697" s="24" t="str">
        <f>IF(ISBLANK(A697),"",SUMIF(Input!A:A,A697,Input!B:B))</f>
        <v/>
      </c>
      <c r="D697" s="25"/>
      <c r="E697" s="22" t="str">
        <f t="shared" si="2"/>
        <v xml:space="preserve"> </v>
      </c>
    </row>
    <row r="698" spans="1:5" ht="12.3">
      <c r="A698" s="26"/>
      <c r="B698" s="23" t="str">
        <f>IF(ISBLANK(A698)," ",VLOOKUP(A698,'Product Database'!A:B,2,FALSE))</f>
        <v xml:space="preserve"> </v>
      </c>
      <c r="C698" s="24" t="str">
        <f>IF(ISBLANK(A698),"",SUMIF(Input!A:A,A698,Input!B:B))</f>
        <v/>
      </c>
      <c r="D698" s="25"/>
      <c r="E698" s="22" t="str">
        <f t="shared" si="2"/>
        <v xml:space="preserve"> </v>
      </c>
    </row>
    <row r="699" spans="1:5" ht="12.3">
      <c r="A699" s="26"/>
      <c r="B699" s="23" t="str">
        <f>IF(ISBLANK(A699)," ",VLOOKUP(A699,'Product Database'!A:B,2,FALSE))</f>
        <v xml:space="preserve"> </v>
      </c>
      <c r="C699" s="24" t="str">
        <f>IF(ISBLANK(A699),"",SUMIF(Input!A:A,A699,Input!B:B))</f>
        <v/>
      </c>
      <c r="D699" s="25"/>
      <c r="E699" s="22" t="str">
        <f t="shared" si="2"/>
        <v xml:space="preserve"> </v>
      </c>
    </row>
    <row r="700" spans="1:5" ht="12.3">
      <c r="A700" s="26"/>
      <c r="B700" s="23" t="str">
        <f>IF(ISBLANK(A700)," ",VLOOKUP(A700,'Product Database'!A:B,2,FALSE))</f>
        <v xml:space="preserve"> </v>
      </c>
      <c r="C700" s="24" t="str">
        <f>IF(ISBLANK(A700),"",SUMIF(Input!A:A,A700,Input!B:B))</f>
        <v/>
      </c>
      <c r="D700" s="25"/>
      <c r="E700" s="22" t="str">
        <f t="shared" si="2"/>
        <v xml:space="preserve"> </v>
      </c>
    </row>
    <row r="701" spans="1:5" ht="12.3">
      <c r="A701" s="26"/>
      <c r="B701" s="23" t="str">
        <f>IF(ISBLANK(A701)," ",VLOOKUP(A701,'Product Database'!A:B,2,FALSE))</f>
        <v xml:space="preserve"> </v>
      </c>
      <c r="C701" s="24" t="str">
        <f>IF(ISBLANK(A701),"",SUMIF(Input!A:A,A701,Input!B:B))</f>
        <v/>
      </c>
      <c r="D701" s="25"/>
      <c r="E701" s="22" t="str">
        <f t="shared" si="2"/>
        <v xml:space="preserve"> </v>
      </c>
    </row>
    <row r="702" spans="1:5" ht="12.3">
      <c r="A702" s="26"/>
      <c r="B702" s="23" t="str">
        <f>IF(ISBLANK(A702)," ",VLOOKUP(A702,'Product Database'!A:B,2,FALSE))</f>
        <v xml:space="preserve"> </v>
      </c>
      <c r="C702" s="24" t="str">
        <f>IF(ISBLANK(A702),"",SUMIF(Input!A:A,A702,Input!B:B))</f>
        <v/>
      </c>
      <c r="D702" s="25"/>
      <c r="E702" s="22" t="str">
        <f t="shared" si="2"/>
        <v xml:space="preserve"> </v>
      </c>
    </row>
    <row r="703" spans="1:5" ht="12.3">
      <c r="A703" s="26"/>
      <c r="B703" s="23" t="str">
        <f>IF(ISBLANK(A703)," ",VLOOKUP(A703,'Product Database'!A:B,2,FALSE))</f>
        <v xml:space="preserve"> </v>
      </c>
      <c r="C703" s="24" t="str">
        <f>IF(ISBLANK(A703),"",SUMIF(Input!A:A,A703,Input!B:B))</f>
        <v/>
      </c>
      <c r="D703" s="25"/>
      <c r="E703" s="22" t="str">
        <f t="shared" si="2"/>
        <v xml:space="preserve"> </v>
      </c>
    </row>
    <row r="704" spans="1:5" ht="12.3">
      <c r="A704" s="26"/>
      <c r="B704" s="23" t="str">
        <f>IF(ISBLANK(A704)," ",VLOOKUP(A704,'Product Database'!A:B,2,FALSE))</f>
        <v xml:space="preserve"> </v>
      </c>
      <c r="C704" s="24" t="str">
        <f>IF(ISBLANK(A704),"",SUMIF(Input!A:A,A704,Input!B:B))</f>
        <v/>
      </c>
      <c r="D704" s="25"/>
      <c r="E704" s="22" t="str">
        <f t="shared" si="2"/>
        <v xml:space="preserve"> </v>
      </c>
    </row>
    <row r="705" spans="1:5" ht="12.3">
      <c r="A705" s="26"/>
      <c r="B705" s="23" t="str">
        <f>IF(ISBLANK(A705)," ",VLOOKUP(A705,'Product Database'!A:B,2,FALSE))</f>
        <v xml:space="preserve"> </v>
      </c>
      <c r="C705" s="24" t="str">
        <f>IF(ISBLANK(A705),"",SUMIF(Input!A:A,A705,Input!B:B))</f>
        <v/>
      </c>
      <c r="D705" s="25"/>
      <c r="E705" s="22" t="str">
        <f t="shared" si="2"/>
        <v xml:space="preserve"> </v>
      </c>
    </row>
    <row r="706" spans="1:5" ht="12.3">
      <c r="A706" s="26"/>
      <c r="B706" s="23" t="str">
        <f>IF(ISBLANK(A706)," ",VLOOKUP(A706,'Product Database'!A:B,2,FALSE))</f>
        <v xml:space="preserve"> </v>
      </c>
      <c r="C706" s="24" t="str">
        <f>IF(ISBLANK(A706),"",SUMIF(Input!A:A,A706,Input!B:B))</f>
        <v/>
      </c>
      <c r="D706" s="25"/>
      <c r="E706" s="22" t="str">
        <f t="shared" si="2"/>
        <v xml:space="preserve"> </v>
      </c>
    </row>
    <row r="707" spans="1:5" ht="12.3">
      <c r="A707" s="26"/>
      <c r="B707" s="23" t="str">
        <f>IF(ISBLANK(A707)," ",VLOOKUP(A707,'Product Database'!A:B,2,FALSE))</f>
        <v xml:space="preserve"> </v>
      </c>
      <c r="C707" s="24" t="str">
        <f>IF(ISBLANK(A707),"",SUMIF(Input!A:A,A707,Input!B:B))</f>
        <v/>
      </c>
      <c r="D707" s="25"/>
      <c r="E707" s="22" t="str">
        <f t="shared" si="2"/>
        <v xml:space="preserve"> </v>
      </c>
    </row>
    <row r="708" spans="1:5" ht="12.3">
      <c r="A708" s="26"/>
      <c r="B708" s="23" t="str">
        <f>IF(ISBLANK(A708)," ",VLOOKUP(A708,'Product Database'!A:B,2,FALSE))</f>
        <v xml:space="preserve"> </v>
      </c>
      <c r="C708" s="24" t="str">
        <f>IF(ISBLANK(A708),"",SUMIF(Input!A:A,A708,Input!B:B))</f>
        <v/>
      </c>
      <c r="D708" s="25"/>
      <c r="E708" s="22" t="str">
        <f t="shared" si="2"/>
        <v xml:space="preserve"> </v>
      </c>
    </row>
    <row r="709" spans="1:5" ht="12.3">
      <c r="A709" s="26"/>
      <c r="B709" s="23" t="str">
        <f>IF(ISBLANK(A709)," ",VLOOKUP(A709,'Product Database'!A:B,2,FALSE))</f>
        <v xml:space="preserve"> </v>
      </c>
      <c r="C709" s="24" t="str">
        <f>IF(ISBLANK(A709),"",SUMIF(Input!A:A,A709,Input!B:B))</f>
        <v/>
      </c>
      <c r="D709" s="25"/>
      <c r="E709" s="22" t="str">
        <f t="shared" si="2"/>
        <v xml:space="preserve"> </v>
      </c>
    </row>
    <row r="710" spans="1:5" ht="12.3">
      <c r="A710" s="26"/>
      <c r="B710" s="23" t="str">
        <f>IF(ISBLANK(A710)," ",VLOOKUP(A710,'Product Database'!A:B,2,FALSE))</f>
        <v xml:space="preserve"> </v>
      </c>
      <c r="C710" s="24" t="str">
        <f>IF(ISBLANK(A710),"",SUMIF(Input!A:A,A710,Input!B:B))</f>
        <v/>
      </c>
      <c r="D710" s="25"/>
      <c r="E710" s="22" t="str">
        <f t="shared" si="2"/>
        <v xml:space="preserve"> </v>
      </c>
    </row>
    <row r="711" spans="1:5" ht="12.3">
      <c r="A711" s="26"/>
      <c r="B711" s="23" t="str">
        <f>IF(ISBLANK(A711)," ",VLOOKUP(A711,'Product Database'!A:B,2,FALSE))</f>
        <v xml:space="preserve"> </v>
      </c>
      <c r="C711" s="24" t="str">
        <f>IF(ISBLANK(A711),"",SUMIF(Input!A:A,A711,Input!B:B))</f>
        <v/>
      </c>
      <c r="D711" s="25"/>
      <c r="E711" s="22" t="str">
        <f t="shared" si="2"/>
        <v xml:space="preserve"> </v>
      </c>
    </row>
    <row r="712" spans="1:5" ht="12.3">
      <c r="A712" s="26"/>
      <c r="B712" s="23" t="str">
        <f>IF(ISBLANK(A712)," ",VLOOKUP(A712,'Product Database'!A:B,2,FALSE))</f>
        <v xml:space="preserve"> </v>
      </c>
      <c r="C712" s="24" t="str">
        <f>IF(ISBLANK(A712),"",SUMIF(Input!A:A,A712,Input!B:B))</f>
        <v/>
      </c>
      <c r="D712" s="25"/>
      <c r="E712" s="22" t="str">
        <f t="shared" si="2"/>
        <v xml:space="preserve"> </v>
      </c>
    </row>
    <row r="713" spans="1:5" ht="12.3">
      <c r="A713" s="26"/>
      <c r="B713" s="23" t="str">
        <f>IF(ISBLANK(A713)," ",VLOOKUP(A713,'Product Database'!A:B,2,FALSE))</f>
        <v xml:space="preserve"> </v>
      </c>
      <c r="C713" s="24" t="str">
        <f>IF(ISBLANK(A713),"",SUMIF(Input!A:A,A713,Input!B:B))</f>
        <v/>
      </c>
      <c r="D713" s="25"/>
      <c r="E713" s="22" t="str">
        <f t="shared" si="2"/>
        <v xml:space="preserve"> </v>
      </c>
    </row>
    <row r="714" spans="1:5" ht="12.3">
      <c r="A714" s="26"/>
      <c r="B714" s="23" t="str">
        <f>IF(ISBLANK(A714)," ",VLOOKUP(A714,'Product Database'!A:B,2,FALSE))</f>
        <v xml:space="preserve"> </v>
      </c>
      <c r="C714" s="24" t="str">
        <f>IF(ISBLANK(A714),"",SUMIF(Input!A:A,A714,Input!B:B))</f>
        <v/>
      </c>
      <c r="D714" s="25"/>
      <c r="E714" s="22" t="str">
        <f t="shared" si="2"/>
        <v xml:space="preserve"> </v>
      </c>
    </row>
    <row r="715" spans="1:5" ht="12.3">
      <c r="A715" s="26"/>
      <c r="B715" s="23" t="str">
        <f>IF(ISBLANK(A715)," ",VLOOKUP(A715,'Product Database'!A:B,2,FALSE))</f>
        <v xml:space="preserve"> </v>
      </c>
      <c r="C715" s="24" t="str">
        <f>IF(ISBLANK(A715),"",SUMIF(Input!A:A,A715,Input!B:B))</f>
        <v/>
      </c>
      <c r="D715" s="25"/>
      <c r="E715" s="22" t="str">
        <f t="shared" si="2"/>
        <v xml:space="preserve"> </v>
      </c>
    </row>
    <row r="716" spans="1:5" ht="12.3">
      <c r="A716" s="26"/>
      <c r="B716" s="23" t="str">
        <f>IF(ISBLANK(A716)," ",VLOOKUP(A716,'Product Database'!A:B,2,FALSE))</f>
        <v xml:space="preserve"> </v>
      </c>
      <c r="C716" s="24" t="str">
        <f>IF(ISBLANK(A716),"",SUMIF(Input!A:A,A716,Input!B:B))</f>
        <v/>
      </c>
      <c r="D716" s="25"/>
      <c r="E716" s="22" t="str">
        <f t="shared" si="2"/>
        <v xml:space="preserve"> </v>
      </c>
    </row>
    <row r="717" spans="1:5" ht="12.3">
      <c r="A717" s="26"/>
      <c r="B717" s="23" t="str">
        <f>IF(ISBLANK(A717)," ",VLOOKUP(A717,'Product Database'!A:B,2,FALSE))</f>
        <v xml:space="preserve"> </v>
      </c>
      <c r="C717" s="24" t="str">
        <f>IF(ISBLANK(A717),"",SUMIF(Input!A:A,A717,Input!B:B))</f>
        <v/>
      </c>
      <c r="D717" s="25"/>
      <c r="E717" s="22" t="str">
        <f t="shared" si="2"/>
        <v xml:space="preserve"> </v>
      </c>
    </row>
    <row r="718" spans="1:5" ht="12.3">
      <c r="A718" s="26"/>
      <c r="B718" s="23" t="str">
        <f>IF(ISBLANK(A718)," ",VLOOKUP(A718,'Product Database'!A:B,2,FALSE))</f>
        <v xml:space="preserve"> </v>
      </c>
      <c r="C718" s="24" t="str">
        <f>IF(ISBLANK(A718),"",SUMIF(Input!A:A,A718,Input!B:B))</f>
        <v/>
      </c>
      <c r="D718" s="25"/>
      <c r="E718" s="22" t="str">
        <f t="shared" si="2"/>
        <v xml:space="preserve"> </v>
      </c>
    </row>
    <row r="719" spans="1:5" ht="12.3">
      <c r="A719" s="26"/>
      <c r="B719" s="23" t="str">
        <f>IF(ISBLANK(A719)," ",VLOOKUP(A719,'Product Database'!A:B,2,FALSE))</f>
        <v xml:space="preserve"> </v>
      </c>
      <c r="C719" s="24" t="str">
        <f>IF(ISBLANK(A719),"",SUMIF(Input!A:A,A719,Input!B:B))</f>
        <v/>
      </c>
      <c r="D719" s="25"/>
      <c r="E719" s="22" t="str">
        <f t="shared" si="2"/>
        <v xml:space="preserve"> </v>
      </c>
    </row>
    <row r="720" spans="1:5" ht="12.3">
      <c r="A720" s="26"/>
      <c r="B720" s="23" t="str">
        <f>IF(ISBLANK(A720)," ",VLOOKUP(A720,'Product Database'!A:B,2,FALSE))</f>
        <v xml:space="preserve"> </v>
      </c>
      <c r="C720" s="24" t="str">
        <f>IF(ISBLANK(A720),"",SUMIF(Input!A:A,A720,Input!B:B))</f>
        <v/>
      </c>
      <c r="D720" s="25"/>
      <c r="E720" s="22" t="str">
        <f t="shared" si="2"/>
        <v xml:space="preserve"> </v>
      </c>
    </row>
    <row r="721" spans="1:5" ht="12.3">
      <c r="A721" s="26"/>
      <c r="B721" s="23" t="str">
        <f>IF(ISBLANK(A721)," ",VLOOKUP(A721,'Product Database'!A:B,2,FALSE))</f>
        <v xml:space="preserve"> </v>
      </c>
      <c r="C721" s="24" t="str">
        <f>IF(ISBLANK(A721),"",SUMIF(Input!A:A,A721,Input!B:B))</f>
        <v/>
      </c>
      <c r="D721" s="25"/>
      <c r="E721" s="22" t="str">
        <f t="shared" si="2"/>
        <v xml:space="preserve"> </v>
      </c>
    </row>
    <row r="722" spans="1:5" ht="12.3">
      <c r="A722" s="26"/>
      <c r="B722" s="23" t="str">
        <f>IF(ISBLANK(A722)," ",VLOOKUP(A722,'Product Database'!A:B,2,FALSE))</f>
        <v xml:space="preserve"> </v>
      </c>
      <c r="C722" s="24" t="str">
        <f>IF(ISBLANK(A722),"",SUMIF(Input!A:A,A722,Input!B:B))</f>
        <v/>
      </c>
      <c r="D722" s="25"/>
      <c r="E722" s="22" t="str">
        <f t="shared" si="2"/>
        <v xml:space="preserve"> </v>
      </c>
    </row>
    <row r="723" spans="1:5" ht="12.3">
      <c r="A723" s="26"/>
      <c r="B723" s="23" t="str">
        <f>IF(ISBLANK(A723)," ",VLOOKUP(A723,'Product Database'!A:B,2,FALSE))</f>
        <v xml:space="preserve"> </v>
      </c>
      <c r="C723" s="24" t="str">
        <f>IF(ISBLANK(A723),"",SUMIF(Input!A:A,A723,Input!B:B))</f>
        <v/>
      </c>
      <c r="D723" s="25"/>
      <c r="E723" s="22" t="str">
        <f t="shared" si="2"/>
        <v xml:space="preserve"> </v>
      </c>
    </row>
    <row r="724" spans="1:5" ht="12.3">
      <c r="A724" s="26"/>
      <c r="B724" s="23" t="str">
        <f>IF(ISBLANK(A724)," ",VLOOKUP(A724,'Product Database'!A:B,2,FALSE))</f>
        <v xml:space="preserve"> </v>
      </c>
      <c r="C724" s="24" t="str">
        <f>IF(ISBLANK(A724),"",SUMIF(Input!A:A,A724,Input!B:B))</f>
        <v/>
      </c>
      <c r="D724" s="25"/>
      <c r="E724" s="22" t="str">
        <f t="shared" si="2"/>
        <v xml:space="preserve"> </v>
      </c>
    </row>
    <row r="725" spans="1:5" ht="12.3">
      <c r="A725" s="26"/>
      <c r="B725" s="23" t="str">
        <f>IF(ISBLANK(A725)," ",VLOOKUP(A725,'Product Database'!A:B,2,FALSE))</f>
        <v xml:space="preserve"> </v>
      </c>
      <c r="C725" s="24" t="str">
        <f>IF(ISBLANK(A725),"",SUMIF(Input!A:A,A725,Input!B:B))</f>
        <v/>
      </c>
      <c r="D725" s="25"/>
      <c r="E725" s="22" t="str">
        <f t="shared" si="2"/>
        <v xml:space="preserve"> </v>
      </c>
    </row>
    <row r="726" spans="1:5" ht="12.3">
      <c r="A726" s="26"/>
      <c r="B726" s="23" t="str">
        <f>IF(ISBLANK(A726)," ",VLOOKUP(A726,'Product Database'!A:B,2,FALSE))</f>
        <v xml:space="preserve"> </v>
      </c>
      <c r="C726" s="24" t="str">
        <f>IF(ISBLANK(A726),"",SUMIF(Input!A:A,A726,Input!B:B))</f>
        <v/>
      </c>
      <c r="D726" s="25"/>
      <c r="E726" s="22" t="str">
        <f t="shared" si="2"/>
        <v xml:space="preserve"> </v>
      </c>
    </row>
    <row r="727" spans="1:5" ht="12.3">
      <c r="A727" s="26"/>
      <c r="B727" s="23" t="str">
        <f>IF(ISBLANK(A727)," ",VLOOKUP(A727,'Product Database'!A:B,2,FALSE))</f>
        <v xml:space="preserve"> </v>
      </c>
      <c r="C727" s="24" t="str">
        <f>IF(ISBLANK(A727),"",SUMIF(Input!A:A,A727,Input!B:B))</f>
        <v/>
      </c>
      <c r="D727" s="25"/>
      <c r="E727" s="22" t="str">
        <f t="shared" si="2"/>
        <v xml:space="preserve"> </v>
      </c>
    </row>
    <row r="728" spans="1:5" ht="12.3">
      <c r="A728" s="26"/>
      <c r="B728" s="23" t="str">
        <f>IF(ISBLANK(A728)," ",VLOOKUP(A728,'Product Database'!A:B,2,FALSE))</f>
        <v xml:space="preserve"> </v>
      </c>
      <c r="C728" s="24" t="str">
        <f>IF(ISBLANK(A728),"",SUMIF(Input!A:A,A728,Input!B:B))</f>
        <v/>
      </c>
      <c r="D728" s="25"/>
      <c r="E728" s="22" t="str">
        <f t="shared" si="2"/>
        <v xml:space="preserve"> </v>
      </c>
    </row>
    <row r="729" spans="1:5" ht="12.3">
      <c r="A729" s="26"/>
      <c r="B729" s="23" t="str">
        <f>IF(ISBLANK(A729)," ",VLOOKUP(A729,'Product Database'!A:B,2,FALSE))</f>
        <v xml:space="preserve"> </v>
      </c>
      <c r="C729" s="24" t="str">
        <f>IF(ISBLANK(A729),"",SUMIF(Input!A:A,A729,Input!B:B))</f>
        <v/>
      </c>
      <c r="D729" s="25"/>
      <c r="E729" s="22" t="str">
        <f t="shared" si="2"/>
        <v xml:space="preserve"> </v>
      </c>
    </row>
    <row r="730" spans="1:5" ht="12.3">
      <c r="A730" s="26"/>
      <c r="B730" s="23" t="str">
        <f>IF(ISBLANK(A730)," ",VLOOKUP(A730,'Product Database'!A:B,2,FALSE))</f>
        <v xml:space="preserve"> </v>
      </c>
      <c r="C730" s="24" t="str">
        <f>IF(ISBLANK(A730),"",SUMIF(Input!A:A,A730,Input!B:B))</f>
        <v/>
      </c>
      <c r="D730" s="25"/>
      <c r="E730" s="22" t="str">
        <f t="shared" si="2"/>
        <v xml:space="preserve"> </v>
      </c>
    </row>
    <row r="731" spans="1:5" ht="12.3">
      <c r="A731" s="26"/>
      <c r="B731" s="23" t="str">
        <f>IF(ISBLANK(A731)," ",VLOOKUP(A731,'Product Database'!A:B,2,FALSE))</f>
        <v xml:space="preserve"> </v>
      </c>
      <c r="C731" s="24" t="str">
        <f>IF(ISBLANK(A731),"",SUMIF(Input!A:A,A731,Input!B:B))</f>
        <v/>
      </c>
      <c r="D731" s="25"/>
      <c r="E731" s="22" t="str">
        <f t="shared" si="2"/>
        <v xml:space="preserve"> </v>
      </c>
    </row>
    <row r="732" spans="1:5" ht="12.3">
      <c r="A732" s="26"/>
      <c r="B732" s="23" t="str">
        <f>IF(ISBLANK(A732)," ",VLOOKUP(A732,'Product Database'!A:B,2,FALSE))</f>
        <v xml:space="preserve"> </v>
      </c>
      <c r="C732" s="24" t="str">
        <f>IF(ISBLANK(A732),"",SUMIF(Input!A:A,A732,Input!B:B))</f>
        <v/>
      </c>
      <c r="D732" s="25"/>
      <c r="E732" s="22" t="str">
        <f t="shared" si="2"/>
        <v xml:space="preserve"> </v>
      </c>
    </row>
    <row r="733" spans="1:5" ht="12.3">
      <c r="A733" s="26"/>
      <c r="B733" s="23" t="str">
        <f>IF(ISBLANK(A733)," ",VLOOKUP(A733,'Product Database'!A:B,2,FALSE))</f>
        <v xml:space="preserve"> </v>
      </c>
      <c r="C733" s="24" t="str">
        <f>IF(ISBLANK(A733),"",SUMIF(Input!A:A,A733,Input!B:B))</f>
        <v/>
      </c>
      <c r="D733" s="25"/>
      <c r="E733" s="22" t="str">
        <f t="shared" si="2"/>
        <v xml:space="preserve"> </v>
      </c>
    </row>
    <row r="734" spans="1:5" ht="12.3">
      <c r="A734" s="26"/>
      <c r="B734" s="23" t="str">
        <f>IF(ISBLANK(A734)," ",VLOOKUP(A734,'Product Database'!A:B,2,FALSE))</f>
        <v xml:space="preserve"> </v>
      </c>
      <c r="C734" s="24" t="str">
        <f>IF(ISBLANK(A734),"",SUMIF(Input!A:A,A734,Input!B:B))</f>
        <v/>
      </c>
      <c r="D734" s="25"/>
      <c r="E734" s="22" t="str">
        <f t="shared" si="2"/>
        <v xml:space="preserve"> </v>
      </c>
    </row>
    <row r="735" spans="1:5" ht="12.3">
      <c r="A735" s="26"/>
      <c r="B735" s="23" t="str">
        <f>IF(ISBLANK(A735)," ",VLOOKUP(A735,'Product Database'!A:B,2,FALSE))</f>
        <v xml:space="preserve"> </v>
      </c>
      <c r="C735" s="24" t="str">
        <f>IF(ISBLANK(A735),"",SUMIF(Input!A:A,A735,Input!B:B))</f>
        <v/>
      </c>
      <c r="D735" s="25"/>
      <c r="E735" s="22" t="str">
        <f t="shared" si="2"/>
        <v xml:space="preserve"> </v>
      </c>
    </row>
    <row r="736" spans="1:5" ht="12.3">
      <c r="A736" s="26"/>
      <c r="B736" s="23" t="str">
        <f>IF(ISBLANK(A736)," ",VLOOKUP(A736,'Product Database'!A:B,2,FALSE))</f>
        <v xml:space="preserve"> </v>
      </c>
      <c r="C736" s="24" t="str">
        <f>IF(ISBLANK(A736),"",SUMIF(Input!A:A,A736,Input!B:B))</f>
        <v/>
      </c>
      <c r="D736" s="25"/>
      <c r="E736" s="22" t="str">
        <f t="shared" si="2"/>
        <v xml:space="preserve"> </v>
      </c>
    </row>
    <row r="737" spans="1:5" ht="12.3">
      <c r="A737" s="26"/>
      <c r="B737" s="23" t="str">
        <f>IF(ISBLANK(A737)," ",VLOOKUP(A737,'Product Database'!A:B,2,FALSE))</f>
        <v xml:space="preserve"> </v>
      </c>
      <c r="C737" s="24" t="str">
        <f>IF(ISBLANK(A737),"",SUMIF(Input!A:A,A737,Input!B:B))</f>
        <v/>
      </c>
      <c r="D737" s="25"/>
      <c r="E737" s="22" t="str">
        <f t="shared" si="2"/>
        <v xml:space="preserve"> </v>
      </c>
    </row>
    <row r="738" spans="1:5" ht="12.3">
      <c r="A738" s="26"/>
      <c r="B738" s="23" t="str">
        <f>IF(ISBLANK(A738)," ",VLOOKUP(A738,'Product Database'!A:B,2,FALSE))</f>
        <v xml:space="preserve"> </v>
      </c>
      <c r="C738" s="24" t="str">
        <f>IF(ISBLANK(A738),"",SUMIF(Input!A:A,A738,Input!B:B))</f>
        <v/>
      </c>
      <c r="D738" s="25"/>
      <c r="E738" s="22" t="str">
        <f t="shared" si="2"/>
        <v xml:space="preserve"> </v>
      </c>
    </row>
    <row r="739" spans="1:5" ht="12.3">
      <c r="A739" s="26"/>
      <c r="B739" s="23" t="str">
        <f>IF(ISBLANK(A739)," ",VLOOKUP(A739,'Product Database'!A:B,2,FALSE))</f>
        <v xml:space="preserve"> </v>
      </c>
      <c r="C739" s="24" t="str">
        <f>IF(ISBLANK(A739),"",SUMIF(Input!A:A,A739,Input!B:B))</f>
        <v/>
      </c>
      <c r="D739" s="25"/>
      <c r="E739" s="22" t="str">
        <f t="shared" si="2"/>
        <v xml:space="preserve"> </v>
      </c>
    </row>
    <row r="740" spans="1:5" ht="12.3">
      <c r="A740" s="26"/>
      <c r="B740" s="23" t="str">
        <f>IF(ISBLANK(A740)," ",VLOOKUP(A740,'Product Database'!A:B,2,FALSE))</f>
        <v xml:space="preserve"> </v>
      </c>
      <c r="C740" s="24" t="str">
        <f>IF(ISBLANK(A740),"",SUMIF(Input!A:A,A740,Input!B:B))</f>
        <v/>
      </c>
      <c r="D740" s="25"/>
      <c r="E740" s="22" t="str">
        <f t="shared" si="2"/>
        <v xml:space="preserve"> </v>
      </c>
    </row>
    <row r="741" spans="1:5" ht="12.3">
      <c r="A741" s="26"/>
      <c r="B741" s="23" t="str">
        <f>IF(ISBLANK(A741)," ",VLOOKUP(A741,'Product Database'!A:B,2,FALSE))</f>
        <v xml:space="preserve"> </v>
      </c>
      <c r="C741" s="24" t="str">
        <f>IF(ISBLANK(A741),"",SUMIF(Input!A:A,A741,Input!B:B))</f>
        <v/>
      </c>
      <c r="D741" s="25"/>
      <c r="E741" s="22" t="str">
        <f t="shared" si="2"/>
        <v xml:space="preserve"> </v>
      </c>
    </row>
    <row r="742" spans="1:5" ht="12.3">
      <c r="A742" s="26"/>
      <c r="B742" s="23" t="str">
        <f>IF(ISBLANK(A742)," ",VLOOKUP(A742,'Product Database'!A:B,2,FALSE))</f>
        <v xml:space="preserve"> </v>
      </c>
      <c r="C742" s="24" t="str">
        <f>IF(ISBLANK(A742),"",SUMIF(Input!A:A,A742,Input!B:B))</f>
        <v/>
      </c>
      <c r="D742" s="25"/>
      <c r="E742" s="22" t="str">
        <f t="shared" si="2"/>
        <v xml:space="preserve"> </v>
      </c>
    </row>
    <row r="743" spans="1:5" ht="12.3">
      <c r="A743" s="26"/>
      <c r="B743" s="23" t="str">
        <f>IF(ISBLANK(A743)," ",VLOOKUP(A743,'Product Database'!A:B,2,FALSE))</f>
        <v xml:space="preserve"> </v>
      </c>
      <c r="C743" s="24" t="str">
        <f>IF(ISBLANK(A743),"",SUMIF(Input!A:A,A743,Input!B:B))</f>
        <v/>
      </c>
      <c r="D743" s="25"/>
      <c r="E743" s="22" t="str">
        <f t="shared" si="2"/>
        <v xml:space="preserve"> </v>
      </c>
    </row>
    <row r="744" spans="1:5" ht="12.3">
      <c r="A744" s="26"/>
      <c r="B744" s="23" t="str">
        <f>IF(ISBLANK(A744)," ",VLOOKUP(A744,'Product Database'!A:B,2,FALSE))</f>
        <v xml:space="preserve"> </v>
      </c>
      <c r="C744" s="24" t="str">
        <f>IF(ISBLANK(A744),"",SUMIF(Input!A:A,A744,Input!B:B))</f>
        <v/>
      </c>
      <c r="D744" s="25"/>
      <c r="E744" s="22" t="str">
        <f t="shared" si="2"/>
        <v xml:space="preserve"> </v>
      </c>
    </row>
    <row r="745" spans="1:5" ht="12.3">
      <c r="A745" s="26"/>
      <c r="B745" s="23" t="str">
        <f>IF(ISBLANK(A745)," ",VLOOKUP(A745,'Product Database'!A:B,2,FALSE))</f>
        <v xml:space="preserve"> </v>
      </c>
      <c r="C745" s="24" t="str">
        <f>IF(ISBLANK(A745),"",SUMIF(Input!A:A,A745,Input!B:B))</f>
        <v/>
      </c>
      <c r="D745" s="25"/>
      <c r="E745" s="22" t="str">
        <f t="shared" si="2"/>
        <v xml:space="preserve"> </v>
      </c>
    </row>
    <row r="746" spans="1:5" ht="12.3">
      <c r="A746" s="26"/>
      <c r="B746" s="23" t="str">
        <f>IF(ISBLANK(A746)," ",VLOOKUP(A746,'Product Database'!A:B,2,FALSE))</f>
        <v xml:space="preserve"> </v>
      </c>
      <c r="C746" s="24" t="str">
        <f>IF(ISBLANK(A746),"",SUMIF(Input!A:A,A746,Input!B:B))</f>
        <v/>
      </c>
      <c r="D746" s="25"/>
      <c r="E746" s="22" t="str">
        <f t="shared" si="2"/>
        <v xml:space="preserve"> </v>
      </c>
    </row>
    <row r="747" spans="1:5" ht="12.3">
      <c r="A747" s="26"/>
      <c r="B747" s="23" t="str">
        <f>IF(ISBLANK(A747)," ",VLOOKUP(A747,'Product Database'!A:B,2,FALSE))</f>
        <v xml:space="preserve"> </v>
      </c>
      <c r="C747" s="24" t="str">
        <f>IF(ISBLANK(A747),"",SUMIF(Input!A:A,A747,Input!B:B))</f>
        <v/>
      </c>
      <c r="D747" s="25"/>
      <c r="E747" s="22" t="str">
        <f t="shared" si="2"/>
        <v xml:space="preserve"> </v>
      </c>
    </row>
    <row r="748" spans="1:5" ht="12.3">
      <c r="A748" s="26"/>
      <c r="B748" s="23" t="str">
        <f>IF(ISBLANK(A748)," ",VLOOKUP(A748,'Product Database'!A:B,2,FALSE))</f>
        <v xml:space="preserve"> </v>
      </c>
      <c r="C748" s="24" t="str">
        <f>IF(ISBLANK(A748),"",SUMIF(Input!A:A,A748,Input!B:B))</f>
        <v/>
      </c>
      <c r="D748" s="25"/>
      <c r="E748" s="22" t="str">
        <f t="shared" si="2"/>
        <v xml:space="preserve"> </v>
      </c>
    </row>
    <row r="749" spans="1:5" ht="12.3">
      <c r="A749" s="26"/>
      <c r="B749" s="23" t="str">
        <f>IF(ISBLANK(A749)," ",VLOOKUP(A749,'Product Database'!A:B,2,FALSE))</f>
        <v xml:space="preserve"> </v>
      </c>
      <c r="C749" s="24" t="str">
        <f>IF(ISBLANK(A749),"",SUMIF(Input!A:A,A749,Input!B:B))</f>
        <v/>
      </c>
      <c r="D749" s="25"/>
      <c r="E749" s="22" t="str">
        <f t="shared" si="2"/>
        <v xml:space="preserve"> </v>
      </c>
    </row>
    <row r="750" spans="1:5" ht="12.3">
      <c r="A750" s="26"/>
      <c r="B750" s="23" t="str">
        <f>IF(ISBLANK(A750)," ",VLOOKUP(A750,'Product Database'!A:B,2,FALSE))</f>
        <v xml:space="preserve"> </v>
      </c>
      <c r="C750" s="24" t="str">
        <f>IF(ISBLANK(A750),"",SUMIF(Input!A:A,A750,Input!B:B))</f>
        <v/>
      </c>
      <c r="D750" s="25"/>
      <c r="E750" s="22" t="str">
        <f t="shared" si="2"/>
        <v xml:space="preserve"> </v>
      </c>
    </row>
    <row r="751" spans="1:5" ht="12.3">
      <c r="A751" s="26"/>
      <c r="B751" s="23" t="str">
        <f>IF(ISBLANK(A751)," ",VLOOKUP(A751,'Product Database'!A:B,2,FALSE))</f>
        <v xml:space="preserve"> </v>
      </c>
      <c r="C751" s="24" t="str">
        <f>IF(ISBLANK(A751),"",SUMIF(Input!A:A,A751,Input!B:B))</f>
        <v/>
      </c>
      <c r="D751" s="25"/>
      <c r="E751" s="22" t="str">
        <f t="shared" si="2"/>
        <v xml:space="preserve"> </v>
      </c>
    </row>
    <row r="752" spans="1:5" ht="12.3">
      <c r="A752" s="26"/>
      <c r="B752" s="23" t="str">
        <f>IF(ISBLANK(A752)," ",VLOOKUP(A752,'Product Database'!A:B,2,FALSE))</f>
        <v xml:space="preserve"> </v>
      </c>
      <c r="C752" s="24" t="str">
        <f>IF(ISBLANK(A752),"",SUMIF(Input!A:A,A752,Input!B:B))</f>
        <v/>
      </c>
      <c r="D752" s="25"/>
      <c r="E752" s="22" t="str">
        <f t="shared" si="2"/>
        <v xml:space="preserve"> </v>
      </c>
    </row>
    <row r="753" spans="1:5" ht="12.3">
      <c r="A753" s="26"/>
      <c r="B753" s="23" t="str">
        <f>IF(ISBLANK(A753)," ",VLOOKUP(A753,'Product Database'!A:B,2,FALSE))</f>
        <v xml:space="preserve"> </v>
      </c>
      <c r="C753" s="24" t="str">
        <f>IF(ISBLANK(A753),"",SUMIF(Input!A:A,A753,Input!B:B))</f>
        <v/>
      </c>
      <c r="D753" s="25"/>
      <c r="E753" s="22" t="str">
        <f t="shared" si="2"/>
        <v xml:space="preserve"> </v>
      </c>
    </row>
    <row r="754" spans="1:5" ht="12.3">
      <c r="A754" s="26"/>
      <c r="B754" s="23" t="str">
        <f>IF(ISBLANK(A754)," ",VLOOKUP(A754,'Product Database'!A:B,2,FALSE))</f>
        <v xml:space="preserve"> </v>
      </c>
      <c r="C754" s="24" t="str">
        <f>IF(ISBLANK(A754),"",SUMIF(Input!A:A,A754,Input!B:B))</f>
        <v/>
      </c>
      <c r="D754" s="25"/>
      <c r="E754" s="22" t="str">
        <f t="shared" si="2"/>
        <v xml:space="preserve"> </v>
      </c>
    </row>
    <row r="755" spans="1:5" ht="12.3">
      <c r="A755" s="26"/>
      <c r="B755" s="23" t="str">
        <f>IF(ISBLANK(A755)," ",VLOOKUP(A755,'Product Database'!A:B,2,FALSE))</f>
        <v xml:space="preserve"> </v>
      </c>
      <c r="C755" s="24" t="str">
        <f>IF(ISBLANK(A755),"",SUMIF(Input!A:A,A755,Input!B:B))</f>
        <v/>
      </c>
      <c r="D755" s="25"/>
      <c r="E755" s="22" t="str">
        <f t="shared" si="2"/>
        <v xml:space="preserve"> </v>
      </c>
    </row>
    <row r="756" spans="1:5" ht="12.3">
      <c r="A756" s="26"/>
      <c r="B756" s="23" t="str">
        <f>IF(ISBLANK(A756)," ",VLOOKUP(A756,'Product Database'!A:B,2,FALSE))</f>
        <v xml:space="preserve"> </v>
      </c>
      <c r="C756" s="24" t="str">
        <f>IF(ISBLANK(A756),"",SUMIF(Input!A:A,A756,Input!B:B))</f>
        <v/>
      </c>
      <c r="D756" s="25"/>
      <c r="E756" s="22" t="str">
        <f t="shared" si="2"/>
        <v xml:space="preserve"> </v>
      </c>
    </row>
    <row r="757" spans="1:5" ht="12.3">
      <c r="A757" s="26"/>
      <c r="B757" s="23" t="str">
        <f>IF(ISBLANK(A757)," ",VLOOKUP(A757,'Product Database'!A:B,2,FALSE))</f>
        <v xml:space="preserve"> </v>
      </c>
      <c r="C757" s="24" t="str">
        <f>IF(ISBLANK(A757),"",SUMIF(Input!A:A,A757,Input!B:B))</f>
        <v/>
      </c>
      <c r="D757" s="25"/>
      <c r="E757" s="22" t="str">
        <f t="shared" si="2"/>
        <v xml:space="preserve"> </v>
      </c>
    </row>
    <row r="758" spans="1:5" ht="12.3">
      <c r="A758" s="26"/>
      <c r="B758" s="23" t="str">
        <f>IF(ISBLANK(A758)," ",VLOOKUP(A758,'Product Database'!A:B,2,FALSE))</f>
        <v xml:space="preserve"> </v>
      </c>
      <c r="C758" s="24" t="str">
        <f>IF(ISBLANK(A758),"",SUMIF(Input!A:A,A758,Input!B:B))</f>
        <v/>
      </c>
      <c r="D758" s="25"/>
      <c r="E758" s="22" t="str">
        <f t="shared" si="2"/>
        <v xml:space="preserve"> </v>
      </c>
    </row>
    <row r="759" spans="1:5" ht="12.3">
      <c r="A759" s="26"/>
      <c r="B759" s="23" t="str">
        <f>IF(ISBLANK(A759)," ",VLOOKUP(A759,'Product Database'!A:B,2,FALSE))</f>
        <v xml:space="preserve"> </v>
      </c>
      <c r="C759" s="24" t="str">
        <f>IF(ISBLANK(A759),"",SUMIF(Input!A:A,A759,Input!B:B))</f>
        <v/>
      </c>
      <c r="D759" s="25"/>
      <c r="E759" s="22" t="str">
        <f t="shared" si="2"/>
        <v xml:space="preserve"> </v>
      </c>
    </row>
    <row r="760" spans="1:5" ht="12.3">
      <c r="A760" s="26"/>
      <c r="B760" s="23" t="str">
        <f>IF(ISBLANK(A760)," ",VLOOKUP(A760,'Product Database'!A:B,2,FALSE))</f>
        <v xml:space="preserve"> </v>
      </c>
      <c r="C760" s="24" t="str">
        <f>IF(ISBLANK(A760),"",SUMIF(Input!A:A,A760,Input!B:B))</f>
        <v/>
      </c>
      <c r="D760" s="25"/>
      <c r="E760" s="22" t="str">
        <f t="shared" si="2"/>
        <v xml:space="preserve"> </v>
      </c>
    </row>
    <row r="761" spans="1:5" ht="12.3">
      <c r="A761" s="26"/>
      <c r="B761" s="23" t="str">
        <f>IF(ISBLANK(A761)," ",VLOOKUP(A761,'Product Database'!A:B,2,FALSE))</f>
        <v xml:space="preserve"> </v>
      </c>
      <c r="C761" s="24" t="str">
        <f>IF(ISBLANK(A761),"",SUMIF(Input!A:A,A761,Input!B:B))</f>
        <v/>
      </c>
      <c r="D761" s="25"/>
      <c r="E761" s="22" t="str">
        <f t="shared" si="2"/>
        <v xml:space="preserve"> </v>
      </c>
    </row>
    <row r="762" spans="1:5" ht="12.3">
      <c r="A762" s="26"/>
      <c r="B762" s="23" t="str">
        <f>IF(ISBLANK(A762)," ",VLOOKUP(A762,'Product Database'!A:B,2,FALSE))</f>
        <v xml:space="preserve"> </v>
      </c>
      <c r="C762" s="24" t="str">
        <f>IF(ISBLANK(A762),"",SUMIF(Input!A:A,A762,Input!B:B))</f>
        <v/>
      </c>
      <c r="D762" s="25"/>
      <c r="E762" s="22" t="str">
        <f t="shared" si="2"/>
        <v xml:space="preserve"> </v>
      </c>
    </row>
    <row r="763" spans="1:5" ht="12.3">
      <c r="A763" s="26"/>
      <c r="B763" s="23" t="str">
        <f>IF(ISBLANK(A763)," ",VLOOKUP(A763,'Product Database'!A:B,2,FALSE))</f>
        <v xml:space="preserve"> </v>
      </c>
      <c r="C763" s="24" t="str">
        <f>IF(ISBLANK(A763),"",SUMIF(Input!A:A,A763,Input!B:B))</f>
        <v/>
      </c>
      <c r="D763" s="25"/>
      <c r="E763" s="22" t="str">
        <f t="shared" si="2"/>
        <v xml:space="preserve"> </v>
      </c>
    </row>
    <row r="764" spans="1:5" ht="12.3">
      <c r="A764" s="26"/>
      <c r="B764" s="23" t="str">
        <f>IF(ISBLANK(A764)," ",VLOOKUP(A764,'Product Database'!A:B,2,FALSE))</f>
        <v xml:space="preserve"> </v>
      </c>
      <c r="C764" s="24" t="str">
        <f>IF(ISBLANK(A764),"",SUMIF(Input!A:A,A764,Input!B:B))</f>
        <v/>
      </c>
      <c r="D764" s="25"/>
      <c r="E764" s="22" t="str">
        <f t="shared" si="2"/>
        <v xml:space="preserve"> </v>
      </c>
    </row>
    <row r="765" spans="1:5" ht="12.3">
      <c r="A765" s="26"/>
      <c r="B765" s="23" t="str">
        <f>IF(ISBLANK(A765)," ",VLOOKUP(A765,'Product Database'!A:B,2,FALSE))</f>
        <v xml:space="preserve"> </v>
      </c>
      <c r="C765" s="24" t="str">
        <f>IF(ISBLANK(A765),"",SUMIF(Input!A:A,A765,Input!B:B))</f>
        <v/>
      </c>
      <c r="D765" s="25"/>
      <c r="E765" s="22" t="str">
        <f t="shared" si="2"/>
        <v xml:space="preserve"> </v>
      </c>
    </row>
    <row r="766" spans="1:5" ht="12.3">
      <c r="A766" s="26"/>
      <c r="B766" s="23" t="str">
        <f>IF(ISBLANK(A766)," ",VLOOKUP(A766,'Product Database'!A:B,2,FALSE))</f>
        <v xml:space="preserve"> </v>
      </c>
      <c r="C766" s="24" t="str">
        <f>IF(ISBLANK(A766),"",SUMIF(Input!A:A,A766,Input!B:B))</f>
        <v/>
      </c>
      <c r="D766" s="25"/>
      <c r="E766" s="22" t="str">
        <f t="shared" si="2"/>
        <v xml:space="preserve"> </v>
      </c>
    </row>
    <row r="767" spans="1:5" ht="12.3">
      <c r="A767" s="26"/>
      <c r="B767" s="23" t="str">
        <f>IF(ISBLANK(A767)," ",VLOOKUP(A767,'Product Database'!A:B,2,FALSE))</f>
        <v xml:space="preserve"> </v>
      </c>
      <c r="C767" s="24" t="str">
        <f>IF(ISBLANK(A767),"",SUMIF(Input!A:A,A767,Input!B:B))</f>
        <v/>
      </c>
      <c r="D767" s="25"/>
      <c r="E767" s="22" t="str">
        <f t="shared" si="2"/>
        <v xml:space="preserve"> </v>
      </c>
    </row>
    <row r="768" spans="1:5" ht="12.3">
      <c r="A768" s="26"/>
      <c r="B768" s="23" t="str">
        <f>IF(ISBLANK(A768)," ",VLOOKUP(A768,'Product Database'!A:B,2,FALSE))</f>
        <v xml:space="preserve"> </v>
      </c>
      <c r="C768" s="24" t="str">
        <f>IF(ISBLANK(A768),"",SUMIF(Input!A:A,A768,Input!B:B))</f>
        <v/>
      </c>
      <c r="D768" s="25"/>
      <c r="E768" s="22" t="str">
        <f t="shared" si="2"/>
        <v xml:space="preserve"> </v>
      </c>
    </row>
    <row r="769" spans="1:5" ht="12.3">
      <c r="A769" s="26"/>
      <c r="B769" s="23" t="str">
        <f>IF(ISBLANK(A769)," ",VLOOKUP(A769,'Product Database'!A:B,2,FALSE))</f>
        <v xml:space="preserve"> </v>
      </c>
      <c r="C769" s="24" t="str">
        <f>IF(ISBLANK(A769),"",SUMIF(Input!A:A,A769,Input!B:B))</f>
        <v/>
      </c>
      <c r="D769" s="25"/>
      <c r="E769" s="22" t="str">
        <f t="shared" si="2"/>
        <v xml:space="preserve"> </v>
      </c>
    </row>
    <row r="770" spans="1:5" ht="12.3">
      <c r="A770" s="26"/>
      <c r="B770" s="23" t="str">
        <f>IF(ISBLANK(A770)," ",VLOOKUP(A770,'Product Database'!A:B,2,FALSE))</f>
        <v xml:space="preserve"> </v>
      </c>
      <c r="C770" s="24" t="str">
        <f>IF(ISBLANK(A770),"",SUMIF(Input!A:A,A770,Input!B:B))</f>
        <v/>
      </c>
      <c r="D770" s="25"/>
      <c r="E770" s="22" t="str">
        <f t="shared" si="2"/>
        <v xml:space="preserve"> </v>
      </c>
    </row>
    <row r="771" spans="1:5" ht="12.3">
      <c r="A771" s="26"/>
      <c r="B771" s="23" t="str">
        <f>IF(ISBLANK(A771)," ",VLOOKUP(A771,'Product Database'!A:B,2,FALSE))</f>
        <v xml:space="preserve"> </v>
      </c>
      <c r="C771" s="24" t="str">
        <f>IF(ISBLANK(A771),"",SUMIF(Input!A:A,A771,Input!B:B))</f>
        <v/>
      </c>
      <c r="D771" s="25"/>
      <c r="E771" s="22" t="str">
        <f t="shared" si="2"/>
        <v xml:space="preserve"> </v>
      </c>
    </row>
    <row r="772" spans="1:5" ht="12.3">
      <c r="A772" s="26"/>
      <c r="B772" s="23" t="str">
        <f>IF(ISBLANK(A772)," ",VLOOKUP(A772,'Product Database'!A:B,2,FALSE))</f>
        <v xml:space="preserve"> </v>
      </c>
      <c r="C772" s="24" t="str">
        <f>IF(ISBLANK(A772),"",SUMIF(Input!A:A,A772,Input!B:B))</f>
        <v/>
      </c>
      <c r="D772" s="25"/>
      <c r="E772" s="22" t="str">
        <f t="shared" ref="E772:E1000" si="3">IF(ISBLANK(A772)," ",C772*D772)</f>
        <v xml:space="preserve"> </v>
      </c>
    </row>
    <row r="773" spans="1:5" ht="12.3">
      <c r="A773" s="26"/>
      <c r="B773" s="23" t="str">
        <f>IF(ISBLANK(A773)," ",VLOOKUP(A773,'Product Database'!A:B,2,FALSE))</f>
        <v xml:space="preserve"> </v>
      </c>
      <c r="C773" s="24" t="str">
        <f>IF(ISBLANK(A773),"",SUMIF(Input!A:A,A773,Input!B:B))</f>
        <v/>
      </c>
      <c r="D773" s="25"/>
      <c r="E773" s="22" t="str">
        <f t="shared" si="3"/>
        <v xml:space="preserve"> </v>
      </c>
    </row>
    <row r="774" spans="1:5" ht="12.3">
      <c r="A774" s="26"/>
      <c r="B774" s="23" t="str">
        <f>IF(ISBLANK(A774)," ",VLOOKUP(A774,'Product Database'!A:B,2,FALSE))</f>
        <v xml:space="preserve"> </v>
      </c>
      <c r="C774" s="24" t="str">
        <f>IF(ISBLANK(A774),"",SUMIF(Input!A:A,A774,Input!B:B))</f>
        <v/>
      </c>
      <c r="D774" s="25"/>
      <c r="E774" s="22" t="str">
        <f t="shared" si="3"/>
        <v xml:space="preserve"> </v>
      </c>
    </row>
    <row r="775" spans="1:5" ht="12.3">
      <c r="A775" s="26"/>
      <c r="B775" s="23" t="str">
        <f>IF(ISBLANK(A775)," ",VLOOKUP(A775,'Product Database'!A:B,2,FALSE))</f>
        <v xml:space="preserve"> </v>
      </c>
      <c r="C775" s="24" t="str">
        <f>IF(ISBLANK(A775),"",SUMIF(Input!A:A,A775,Input!B:B))</f>
        <v/>
      </c>
      <c r="D775" s="25"/>
      <c r="E775" s="22" t="str">
        <f t="shared" si="3"/>
        <v xml:space="preserve"> </v>
      </c>
    </row>
    <row r="776" spans="1:5" ht="12.3">
      <c r="A776" s="26"/>
      <c r="B776" s="23" t="str">
        <f>IF(ISBLANK(A776)," ",VLOOKUP(A776,'Product Database'!A:B,2,FALSE))</f>
        <v xml:space="preserve"> </v>
      </c>
      <c r="C776" s="24" t="str">
        <f>IF(ISBLANK(A776),"",SUMIF(Input!A:A,A776,Input!B:B))</f>
        <v/>
      </c>
      <c r="D776" s="25"/>
      <c r="E776" s="22" t="str">
        <f t="shared" si="3"/>
        <v xml:space="preserve"> </v>
      </c>
    </row>
    <row r="777" spans="1:5" ht="12.3">
      <c r="A777" s="26"/>
      <c r="B777" s="23" t="str">
        <f>IF(ISBLANK(A777)," ",VLOOKUP(A777,'Product Database'!A:B,2,FALSE))</f>
        <v xml:space="preserve"> </v>
      </c>
      <c r="C777" s="24" t="str">
        <f>IF(ISBLANK(A777),"",SUMIF(Input!A:A,A777,Input!B:B))</f>
        <v/>
      </c>
      <c r="D777" s="25"/>
      <c r="E777" s="22" t="str">
        <f t="shared" si="3"/>
        <v xml:space="preserve"> </v>
      </c>
    </row>
    <row r="778" spans="1:5" ht="12.3">
      <c r="A778" s="26"/>
      <c r="B778" s="23" t="str">
        <f>IF(ISBLANK(A778)," ",VLOOKUP(A778,'Product Database'!A:B,2,FALSE))</f>
        <v xml:space="preserve"> </v>
      </c>
      <c r="C778" s="24" t="str">
        <f>IF(ISBLANK(A778),"",SUMIF(Input!A:A,A778,Input!B:B))</f>
        <v/>
      </c>
      <c r="D778" s="25"/>
      <c r="E778" s="22" t="str">
        <f t="shared" si="3"/>
        <v xml:space="preserve"> </v>
      </c>
    </row>
    <row r="779" spans="1:5" ht="12.3">
      <c r="A779" s="26"/>
      <c r="B779" s="23" t="str">
        <f>IF(ISBLANK(A779)," ",VLOOKUP(A779,'Product Database'!A:B,2,FALSE))</f>
        <v xml:space="preserve"> </v>
      </c>
      <c r="C779" s="24" t="str">
        <f>IF(ISBLANK(A779),"",SUMIF(Input!A:A,A779,Input!B:B))</f>
        <v/>
      </c>
      <c r="D779" s="25"/>
      <c r="E779" s="22" t="str">
        <f t="shared" si="3"/>
        <v xml:space="preserve"> </v>
      </c>
    </row>
    <row r="780" spans="1:5" ht="12.3">
      <c r="A780" s="26"/>
      <c r="B780" s="23" t="str">
        <f>IF(ISBLANK(A780)," ",VLOOKUP(A780,'Product Database'!A:B,2,FALSE))</f>
        <v xml:space="preserve"> </v>
      </c>
      <c r="C780" s="24" t="str">
        <f>IF(ISBLANK(A780),"",SUMIF(Input!A:A,A780,Input!B:B))</f>
        <v/>
      </c>
      <c r="D780" s="25"/>
      <c r="E780" s="22" t="str">
        <f t="shared" si="3"/>
        <v xml:space="preserve"> </v>
      </c>
    </row>
    <row r="781" spans="1:5" ht="12.3">
      <c r="A781" s="26"/>
      <c r="B781" s="23" t="str">
        <f>IF(ISBLANK(A781)," ",VLOOKUP(A781,'Product Database'!A:B,2,FALSE))</f>
        <v xml:space="preserve"> </v>
      </c>
      <c r="C781" s="24" t="str">
        <f>IF(ISBLANK(A781),"",SUMIF(Input!A:A,A781,Input!B:B))</f>
        <v/>
      </c>
      <c r="D781" s="25"/>
      <c r="E781" s="22" t="str">
        <f t="shared" si="3"/>
        <v xml:space="preserve"> </v>
      </c>
    </row>
    <row r="782" spans="1:5" ht="12.3">
      <c r="A782" s="26"/>
      <c r="B782" s="23" t="str">
        <f>IF(ISBLANK(A782)," ",VLOOKUP(A782,'Product Database'!A:B,2,FALSE))</f>
        <v xml:space="preserve"> </v>
      </c>
      <c r="C782" s="24" t="str">
        <f>IF(ISBLANK(A782),"",SUMIF(Input!A:A,A782,Input!B:B))</f>
        <v/>
      </c>
      <c r="D782" s="25"/>
      <c r="E782" s="22" t="str">
        <f t="shared" si="3"/>
        <v xml:space="preserve"> </v>
      </c>
    </row>
    <row r="783" spans="1:5" ht="12.3">
      <c r="A783" s="26"/>
      <c r="B783" s="23" t="str">
        <f>IF(ISBLANK(A783)," ",VLOOKUP(A783,'Product Database'!A:B,2,FALSE))</f>
        <v xml:space="preserve"> </v>
      </c>
      <c r="C783" s="24" t="str">
        <f>IF(ISBLANK(A783),"",SUMIF(Input!A:A,A783,Input!B:B))</f>
        <v/>
      </c>
      <c r="D783" s="25"/>
      <c r="E783" s="22" t="str">
        <f t="shared" si="3"/>
        <v xml:space="preserve"> </v>
      </c>
    </row>
    <row r="784" spans="1:5" ht="12.3">
      <c r="A784" s="26"/>
      <c r="B784" s="23" t="str">
        <f>IF(ISBLANK(A784)," ",VLOOKUP(A784,'Product Database'!A:B,2,FALSE))</f>
        <v xml:space="preserve"> </v>
      </c>
      <c r="C784" s="24" t="str">
        <f>IF(ISBLANK(A784),"",SUMIF(Input!A:A,A784,Input!B:B))</f>
        <v/>
      </c>
      <c r="D784" s="25"/>
      <c r="E784" s="22" t="str">
        <f t="shared" si="3"/>
        <v xml:space="preserve"> </v>
      </c>
    </row>
    <row r="785" spans="1:5" ht="12.3">
      <c r="A785" s="26"/>
      <c r="B785" s="23" t="str">
        <f>IF(ISBLANK(A785)," ",VLOOKUP(A785,'Product Database'!A:B,2,FALSE))</f>
        <v xml:space="preserve"> </v>
      </c>
      <c r="C785" s="24" t="str">
        <f>IF(ISBLANK(A785),"",SUMIF(Input!A:A,A785,Input!B:B))</f>
        <v/>
      </c>
      <c r="D785" s="25"/>
      <c r="E785" s="22" t="str">
        <f t="shared" si="3"/>
        <v xml:space="preserve"> </v>
      </c>
    </row>
    <row r="786" spans="1:5" ht="12.3">
      <c r="A786" s="26"/>
      <c r="B786" s="23" t="str">
        <f>IF(ISBLANK(A786)," ",VLOOKUP(A786,'Product Database'!A:B,2,FALSE))</f>
        <v xml:space="preserve"> </v>
      </c>
      <c r="C786" s="24" t="str">
        <f>IF(ISBLANK(A786),"",SUMIF(Input!A:A,A786,Input!B:B))</f>
        <v/>
      </c>
      <c r="D786" s="25"/>
      <c r="E786" s="22" t="str">
        <f t="shared" si="3"/>
        <v xml:space="preserve"> </v>
      </c>
    </row>
    <row r="787" spans="1:5" ht="12.3">
      <c r="A787" s="26"/>
      <c r="B787" s="23" t="str">
        <f>IF(ISBLANK(A787)," ",VLOOKUP(A787,'Product Database'!A:B,2,FALSE))</f>
        <v xml:space="preserve"> </v>
      </c>
      <c r="C787" s="24" t="str">
        <f>IF(ISBLANK(A787),"",SUMIF(Input!A:A,A787,Input!B:B))</f>
        <v/>
      </c>
      <c r="D787" s="25"/>
      <c r="E787" s="22" t="str">
        <f t="shared" si="3"/>
        <v xml:space="preserve"> </v>
      </c>
    </row>
    <row r="788" spans="1:5" ht="12.3">
      <c r="A788" s="26"/>
      <c r="B788" s="23" t="str">
        <f>IF(ISBLANK(A788)," ",VLOOKUP(A788,'Product Database'!A:B,2,FALSE))</f>
        <v xml:space="preserve"> </v>
      </c>
      <c r="C788" s="24" t="str">
        <f>IF(ISBLANK(A788),"",SUMIF(Input!A:A,A788,Input!B:B))</f>
        <v/>
      </c>
      <c r="D788" s="25"/>
      <c r="E788" s="22" t="str">
        <f t="shared" si="3"/>
        <v xml:space="preserve"> </v>
      </c>
    </row>
    <row r="789" spans="1:5" ht="12.3">
      <c r="A789" s="26"/>
      <c r="B789" s="23" t="str">
        <f>IF(ISBLANK(A789)," ",VLOOKUP(A789,'Product Database'!A:B,2,FALSE))</f>
        <v xml:space="preserve"> </v>
      </c>
      <c r="C789" s="24" t="str">
        <f>IF(ISBLANK(A789),"",SUMIF(Input!A:A,A789,Input!B:B))</f>
        <v/>
      </c>
      <c r="D789" s="25"/>
      <c r="E789" s="22" t="str">
        <f t="shared" si="3"/>
        <v xml:space="preserve"> </v>
      </c>
    </row>
    <row r="790" spans="1:5" ht="12.3">
      <c r="A790" s="26"/>
      <c r="B790" s="23" t="str">
        <f>IF(ISBLANK(A790)," ",VLOOKUP(A790,'Product Database'!A:B,2,FALSE))</f>
        <v xml:space="preserve"> </v>
      </c>
      <c r="C790" s="24" t="str">
        <f>IF(ISBLANK(A790),"",SUMIF(Input!A:A,A790,Input!B:B))</f>
        <v/>
      </c>
      <c r="D790" s="25"/>
      <c r="E790" s="22" t="str">
        <f t="shared" si="3"/>
        <v xml:space="preserve"> </v>
      </c>
    </row>
    <row r="791" spans="1:5" ht="12.3">
      <c r="A791" s="26"/>
      <c r="B791" s="23" t="str">
        <f>IF(ISBLANK(A791)," ",VLOOKUP(A791,'Product Database'!A:B,2,FALSE))</f>
        <v xml:space="preserve"> </v>
      </c>
      <c r="C791" s="24" t="str">
        <f>IF(ISBLANK(A791),"",SUMIF(Input!A:A,A791,Input!B:B))</f>
        <v/>
      </c>
      <c r="D791" s="25"/>
      <c r="E791" s="22" t="str">
        <f t="shared" si="3"/>
        <v xml:space="preserve"> </v>
      </c>
    </row>
    <row r="792" spans="1:5" ht="12.3">
      <c r="A792" s="26"/>
      <c r="B792" s="23" t="str">
        <f>IF(ISBLANK(A792)," ",VLOOKUP(A792,'Product Database'!A:B,2,FALSE))</f>
        <v xml:space="preserve"> </v>
      </c>
      <c r="C792" s="24" t="str">
        <f>IF(ISBLANK(A792),"",SUMIF(Input!A:A,A792,Input!B:B))</f>
        <v/>
      </c>
      <c r="D792" s="25"/>
      <c r="E792" s="22" t="str">
        <f t="shared" si="3"/>
        <v xml:space="preserve"> </v>
      </c>
    </row>
    <row r="793" spans="1:5" ht="12.3">
      <c r="A793" s="26"/>
      <c r="B793" s="23" t="str">
        <f>IF(ISBLANK(A793)," ",VLOOKUP(A793,'Product Database'!A:B,2,FALSE))</f>
        <v xml:space="preserve"> </v>
      </c>
      <c r="C793" s="24" t="str">
        <f>IF(ISBLANK(A793),"",SUMIF(Input!A:A,A793,Input!B:B))</f>
        <v/>
      </c>
      <c r="D793" s="25"/>
      <c r="E793" s="22" t="str">
        <f t="shared" si="3"/>
        <v xml:space="preserve"> </v>
      </c>
    </row>
    <row r="794" spans="1:5" ht="12.3">
      <c r="A794" s="26"/>
      <c r="B794" s="23" t="str">
        <f>IF(ISBLANK(A794)," ",VLOOKUP(A794,'Product Database'!A:B,2,FALSE))</f>
        <v xml:space="preserve"> </v>
      </c>
      <c r="C794" s="24" t="str">
        <f>IF(ISBLANK(A794),"",SUMIF(Input!A:A,A794,Input!B:B))</f>
        <v/>
      </c>
      <c r="D794" s="25"/>
      <c r="E794" s="22" t="str">
        <f t="shared" si="3"/>
        <v xml:space="preserve"> </v>
      </c>
    </row>
    <row r="795" spans="1:5" ht="12.3">
      <c r="A795" s="26"/>
      <c r="B795" s="23" t="str">
        <f>IF(ISBLANK(A795)," ",VLOOKUP(A795,'Product Database'!A:B,2,FALSE))</f>
        <v xml:space="preserve"> </v>
      </c>
      <c r="C795" s="24" t="str">
        <f>IF(ISBLANK(A795),"",SUMIF(Input!A:A,A795,Input!B:B))</f>
        <v/>
      </c>
      <c r="D795" s="25"/>
      <c r="E795" s="22" t="str">
        <f t="shared" si="3"/>
        <v xml:space="preserve"> </v>
      </c>
    </row>
    <row r="796" spans="1:5" ht="12.3">
      <c r="A796" s="26"/>
      <c r="B796" s="23" t="str">
        <f>IF(ISBLANK(A796)," ",VLOOKUP(A796,'Product Database'!A:B,2,FALSE))</f>
        <v xml:space="preserve"> </v>
      </c>
      <c r="C796" s="24" t="str">
        <f>IF(ISBLANK(A796),"",SUMIF(Input!A:A,A796,Input!B:B))</f>
        <v/>
      </c>
      <c r="D796" s="25"/>
      <c r="E796" s="22" t="str">
        <f t="shared" si="3"/>
        <v xml:space="preserve"> </v>
      </c>
    </row>
    <row r="797" spans="1:5" ht="12.3">
      <c r="A797" s="26"/>
      <c r="B797" s="23" t="str">
        <f>IF(ISBLANK(A797)," ",VLOOKUP(A797,'Product Database'!A:B,2,FALSE))</f>
        <v xml:space="preserve"> </v>
      </c>
      <c r="C797" s="24" t="str">
        <f>IF(ISBLANK(A797),"",SUMIF(Input!A:A,A797,Input!B:B))</f>
        <v/>
      </c>
      <c r="D797" s="25"/>
      <c r="E797" s="22" t="str">
        <f t="shared" si="3"/>
        <v xml:space="preserve"> </v>
      </c>
    </row>
    <row r="798" spans="1:5" ht="12.3">
      <c r="A798" s="26"/>
      <c r="B798" s="23" t="str">
        <f>IF(ISBLANK(A798)," ",VLOOKUP(A798,'Product Database'!A:B,2,FALSE))</f>
        <v xml:space="preserve"> </v>
      </c>
      <c r="C798" s="24" t="str">
        <f>IF(ISBLANK(A798),"",SUMIF(Input!A:A,A798,Input!B:B))</f>
        <v/>
      </c>
      <c r="D798" s="25"/>
      <c r="E798" s="22" t="str">
        <f t="shared" si="3"/>
        <v xml:space="preserve"> </v>
      </c>
    </row>
    <row r="799" spans="1:5" ht="12.3">
      <c r="A799" s="26"/>
      <c r="B799" s="23" t="str">
        <f>IF(ISBLANK(A799)," ",VLOOKUP(A799,'Product Database'!A:B,2,FALSE))</f>
        <v xml:space="preserve"> </v>
      </c>
      <c r="C799" s="24" t="str">
        <f>IF(ISBLANK(A799),"",SUMIF(Input!A:A,A799,Input!B:B))</f>
        <v/>
      </c>
      <c r="D799" s="25"/>
      <c r="E799" s="22" t="str">
        <f t="shared" si="3"/>
        <v xml:space="preserve"> </v>
      </c>
    </row>
    <row r="800" spans="1:5" ht="12.3">
      <c r="A800" s="26"/>
      <c r="B800" s="23" t="str">
        <f>IF(ISBLANK(A800)," ",VLOOKUP(A800,'Product Database'!A:B,2,FALSE))</f>
        <v xml:space="preserve"> </v>
      </c>
      <c r="C800" s="24" t="str">
        <f>IF(ISBLANK(A800),"",SUMIF(Input!A:A,A800,Input!B:B))</f>
        <v/>
      </c>
      <c r="D800" s="25"/>
      <c r="E800" s="22" t="str">
        <f t="shared" si="3"/>
        <v xml:space="preserve"> </v>
      </c>
    </row>
    <row r="801" spans="1:5" ht="12.3">
      <c r="A801" s="26"/>
      <c r="B801" s="23" t="str">
        <f>IF(ISBLANK(A801)," ",VLOOKUP(A801,'Product Database'!A:B,2,FALSE))</f>
        <v xml:space="preserve"> </v>
      </c>
      <c r="C801" s="24" t="str">
        <f>IF(ISBLANK(A801),"",SUMIF(Input!A:A,A801,Input!B:B))</f>
        <v/>
      </c>
      <c r="D801" s="25"/>
      <c r="E801" s="22" t="str">
        <f t="shared" si="3"/>
        <v xml:space="preserve"> </v>
      </c>
    </row>
    <row r="802" spans="1:5" ht="12.3">
      <c r="A802" s="26"/>
      <c r="B802" s="23" t="str">
        <f>IF(ISBLANK(A802)," ",VLOOKUP(A802,'Product Database'!A:B,2,FALSE))</f>
        <v xml:space="preserve"> </v>
      </c>
      <c r="C802" s="24" t="str">
        <f>IF(ISBLANK(A802),"",SUMIF(Input!A:A,A802,Input!B:B))</f>
        <v/>
      </c>
      <c r="D802" s="25"/>
      <c r="E802" s="22" t="str">
        <f t="shared" si="3"/>
        <v xml:space="preserve"> </v>
      </c>
    </row>
    <row r="803" spans="1:5" ht="12.3">
      <c r="A803" s="26"/>
      <c r="B803" s="23" t="str">
        <f>IF(ISBLANK(A803)," ",VLOOKUP(A803,'Product Database'!A:B,2,FALSE))</f>
        <v xml:space="preserve"> </v>
      </c>
      <c r="C803" s="24" t="str">
        <f>IF(ISBLANK(A803),"",SUMIF(Input!A:A,A803,Input!B:B))</f>
        <v/>
      </c>
      <c r="D803" s="25"/>
      <c r="E803" s="22" t="str">
        <f t="shared" si="3"/>
        <v xml:space="preserve"> </v>
      </c>
    </row>
    <row r="804" spans="1:5" ht="12.3">
      <c r="A804" s="26"/>
      <c r="B804" s="23" t="str">
        <f>IF(ISBLANK(A804)," ",VLOOKUP(A804,'Product Database'!A:B,2,FALSE))</f>
        <v xml:space="preserve"> </v>
      </c>
      <c r="C804" s="24" t="str">
        <f>IF(ISBLANK(A804),"",SUMIF(Input!A:A,A804,Input!B:B))</f>
        <v/>
      </c>
      <c r="D804" s="25"/>
      <c r="E804" s="22" t="str">
        <f t="shared" si="3"/>
        <v xml:space="preserve"> </v>
      </c>
    </row>
    <row r="805" spans="1:5" ht="12.3">
      <c r="A805" s="26"/>
      <c r="B805" s="23" t="str">
        <f>IF(ISBLANK(A805)," ",VLOOKUP(A805,'Product Database'!A:B,2,FALSE))</f>
        <v xml:space="preserve"> </v>
      </c>
      <c r="C805" s="24" t="str">
        <f>IF(ISBLANK(A805),"",SUMIF(Input!A:A,A805,Input!B:B))</f>
        <v/>
      </c>
      <c r="D805" s="25"/>
      <c r="E805" s="22" t="str">
        <f t="shared" si="3"/>
        <v xml:space="preserve"> </v>
      </c>
    </row>
    <row r="806" spans="1:5" ht="12.3">
      <c r="A806" s="26"/>
      <c r="B806" s="23" t="str">
        <f>IF(ISBLANK(A806)," ",VLOOKUP(A806,'Product Database'!A:B,2,FALSE))</f>
        <v xml:space="preserve"> </v>
      </c>
      <c r="C806" s="24" t="str">
        <f>IF(ISBLANK(A806),"",SUMIF(Input!A:A,A806,Input!B:B))</f>
        <v/>
      </c>
      <c r="D806" s="25"/>
      <c r="E806" s="22" t="str">
        <f t="shared" si="3"/>
        <v xml:space="preserve"> </v>
      </c>
    </row>
    <row r="807" spans="1:5" ht="12.3">
      <c r="A807" s="26"/>
      <c r="B807" s="23" t="str">
        <f>IF(ISBLANK(A807)," ",VLOOKUP(A807,'Product Database'!A:B,2,FALSE))</f>
        <v xml:space="preserve"> </v>
      </c>
      <c r="C807" s="24" t="str">
        <f>IF(ISBLANK(A807),"",SUMIF(Input!A:A,A807,Input!B:B))</f>
        <v/>
      </c>
      <c r="D807" s="25"/>
      <c r="E807" s="22" t="str">
        <f t="shared" si="3"/>
        <v xml:space="preserve"> </v>
      </c>
    </row>
    <row r="808" spans="1:5" ht="12.3">
      <c r="A808" s="26"/>
      <c r="B808" s="23" t="str">
        <f>IF(ISBLANK(A808)," ",VLOOKUP(A808,'Product Database'!A:B,2,FALSE))</f>
        <v xml:space="preserve"> </v>
      </c>
      <c r="C808" s="24" t="str">
        <f>IF(ISBLANK(A808),"",SUMIF(Input!A:A,A808,Input!B:B))</f>
        <v/>
      </c>
      <c r="D808" s="25"/>
      <c r="E808" s="22" t="str">
        <f t="shared" si="3"/>
        <v xml:space="preserve"> </v>
      </c>
    </row>
    <row r="809" spans="1:5" ht="12.3">
      <c r="A809" s="26"/>
      <c r="B809" s="23" t="str">
        <f>IF(ISBLANK(A809)," ",VLOOKUP(A809,'Product Database'!A:B,2,FALSE))</f>
        <v xml:space="preserve"> </v>
      </c>
      <c r="C809" s="24" t="str">
        <f>IF(ISBLANK(A809),"",SUMIF(Input!A:A,A809,Input!B:B))</f>
        <v/>
      </c>
      <c r="D809" s="25"/>
      <c r="E809" s="22" t="str">
        <f t="shared" si="3"/>
        <v xml:space="preserve"> </v>
      </c>
    </row>
    <row r="810" spans="1:5" ht="12.3">
      <c r="A810" s="26"/>
      <c r="B810" s="23" t="str">
        <f>IF(ISBLANK(A810)," ",VLOOKUP(A810,'Product Database'!A:B,2,FALSE))</f>
        <v xml:space="preserve"> </v>
      </c>
      <c r="C810" s="24" t="str">
        <f>IF(ISBLANK(A810),"",SUMIF(Input!A:A,A810,Input!B:B))</f>
        <v/>
      </c>
      <c r="D810" s="25"/>
      <c r="E810" s="22" t="str">
        <f t="shared" si="3"/>
        <v xml:space="preserve"> </v>
      </c>
    </row>
    <row r="811" spans="1:5" ht="12.3">
      <c r="A811" s="26"/>
      <c r="B811" s="23" t="str">
        <f>IF(ISBLANK(A811)," ",VLOOKUP(A811,'Product Database'!A:B,2,FALSE))</f>
        <v xml:space="preserve"> </v>
      </c>
      <c r="C811" s="24" t="str">
        <f>IF(ISBLANK(A811),"",SUMIF(Input!A:A,A811,Input!B:B))</f>
        <v/>
      </c>
      <c r="D811" s="25"/>
      <c r="E811" s="22" t="str">
        <f t="shared" si="3"/>
        <v xml:space="preserve"> </v>
      </c>
    </row>
    <row r="812" spans="1:5" ht="12.3">
      <c r="A812" s="26"/>
      <c r="B812" s="23" t="str">
        <f>IF(ISBLANK(A812)," ",VLOOKUP(A812,'Product Database'!A:B,2,FALSE))</f>
        <v xml:space="preserve"> </v>
      </c>
      <c r="C812" s="24" t="str">
        <f>IF(ISBLANK(A812),"",SUMIF(Input!A:A,A812,Input!B:B))</f>
        <v/>
      </c>
      <c r="D812" s="25"/>
      <c r="E812" s="22" t="str">
        <f t="shared" si="3"/>
        <v xml:space="preserve"> </v>
      </c>
    </row>
    <row r="813" spans="1:5" ht="12.3">
      <c r="A813" s="26"/>
      <c r="B813" s="23" t="str">
        <f>IF(ISBLANK(A813)," ",VLOOKUP(A813,'Product Database'!A:B,2,FALSE))</f>
        <v xml:space="preserve"> </v>
      </c>
      <c r="C813" s="24" t="str">
        <f>IF(ISBLANK(A813),"",SUMIF(Input!A:A,A813,Input!B:B))</f>
        <v/>
      </c>
      <c r="D813" s="25"/>
      <c r="E813" s="22" t="str">
        <f t="shared" si="3"/>
        <v xml:space="preserve"> </v>
      </c>
    </row>
    <row r="814" spans="1:5" ht="12.3">
      <c r="A814" s="26"/>
      <c r="B814" s="23" t="str">
        <f>IF(ISBLANK(A814)," ",VLOOKUP(A814,'Product Database'!A:B,2,FALSE))</f>
        <v xml:space="preserve"> </v>
      </c>
      <c r="C814" s="24" t="str">
        <f>IF(ISBLANK(A814),"",SUMIF(Input!A:A,A814,Input!B:B))</f>
        <v/>
      </c>
      <c r="D814" s="25"/>
      <c r="E814" s="22" t="str">
        <f t="shared" si="3"/>
        <v xml:space="preserve"> </v>
      </c>
    </row>
    <row r="815" spans="1:5" ht="12.3">
      <c r="A815" s="26"/>
      <c r="B815" s="23" t="str">
        <f>IF(ISBLANK(A815)," ",VLOOKUP(A815,'Product Database'!A:B,2,FALSE))</f>
        <v xml:space="preserve"> </v>
      </c>
      <c r="C815" s="24" t="str">
        <f>IF(ISBLANK(A815),"",SUMIF(Input!A:A,A815,Input!B:B))</f>
        <v/>
      </c>
      <c r="D815" s="25"/>
      <c r="E815" s="22" t="str">
        <f t="shared" si="3"/>
        <v xml:space="preserve"> </v>
      </c>
    </row>
    <row r="816" spans="1:5" ht="12.3">
      <c r="A816" s="26"/>
      <c r="B816" s="23" t="str">
        <f>IF(ISBLANK(A816)," ",VLOOKUP(A816,'Product Database'!A:B,2,FALSE))</f>
        <v xml:space="preserve"> </v>
      </c>
      <c r="C816" s="24" t="str">
        <f>IF(ISBLANK(A816),"",SUMIF(Input!A:A,A816,Input!B:B))</f>
        <v/>
      </c>
      <c r="D816" s="25"/>
      <c r="E816" s="22" t="str">
        <f t="shared" si="3"/>
        <v xml:space="preserve"> </v>
      </c>
    </row>
    <row r="817" spans="1:5" ht="12.3">
      <c r="A817" s="26"/>
      <c r="B817" s="23" t="str">
        <f>IF(ISBLANK(A817)," ",VLOOKUP(A817,'Product Database'!A:B,2,FALSE))</f>
        <v xml:space="preserve"> </v>
      </c>
      <c r="C817" s="24" t="str">
        <f>IF(ISBLANK(A817),"",SUMIF(Input!A:A,A817,Input!B:B))</f>
        <v/>
      </c>
      <c r="D817" s="25"/>
      <c r="E817" s="22" t="str">
        <f t="shared" si="3"/>
        <v xml:space="preserve"> </v>
      </c>
    </row>
    <row r="818" spans="1:5" ht="12.3">
      <c r="A818" s="26"/>
      <c r="B818" s="23" t="str">
        <f>IF(ISBLANK(A818)," ",VLOOKUP(A818,'Product Database'!A:B,2,FALSE))</f>
        <v xml:space="preserve"> </v>
      </c>
      <c r="C818" s="24" t="str">
        <f>IF(ISBLANK(A818),"",SUMIF(Input!A:A,A818,Input!B:B))</f>
        <v/>
      </c>
      <c r="D818" s="25"/>
      <c r="E818" s="22" t="str">
        <f t="shared" si="3"/>
        <v xml:space="preserve"> </v>
      </c>
    </row>
    <row r="819" spans="1:5" ht="12.3">
      <c r="A819" s="26"/>
      <c r="B819" s="23" t="str">
        <f>IF(ISBLANK(A819)," ",VLOOKUP(A819,'Product Database'!A:B,2,FALSE))</f>
        <v xml:space="preserve"> </v>
      </c>
      <c r="C819" s="24" t="str">
        <f>IF(ISBLANK(A819),"",SUMIF(Input!A:A,A819,Input!B:B))</f>
        <v/>
      </c>
      <c r="D819" s="25"/>
      <c r="E819" s="22" t="str">
        <f t="shared" si="3"/>
        <v xml:space="preserve"> </v>
      </c>
    </row>
    <row r="820" spans="1:5" ht="12.3">
      <c r="A820" s="26"/>
      <c r="B820" s="23" t="str">
        <f>IF(ISBLANK(A820)," ",VLOOKUP(A820,'Product Database'!A:B,2,FALSE))</f>
        <v xml:space="preserve"> </v>
      </c>
      <c r="C820" s="24" t="str">
        <f>IF(ISBLANK(A820),"",SUMIF(Input!A:A,A820,Input!B:B))</f>
        <v/>
      </c>
      <c r="D820" s="25"/>
      <c r="E820" s="22" t="str">
        <f t="shared" si="3"/>
        <v xml:space="preserve"> </v>
      </c>
    </row>
    <row r="821" spans="1:5" ht="12.3">
      <c r="A821" s="26"/>
      <c r="B821" s="23" t="str">
        <f>IF(ISBLANK(A821)," ",VLOOKUP(A821,'Product Database'!A:B,2,FALSE))</f>
        <v xml:space="preserve"> </v>
      </c>
      <c r="C821" s="24" t="str">
        <f>IF(ISBLANK(A821),"",SUMIF(Input!A:A,A821,Input!B:B))</f>
        <v/>
      </c>
      <c r="D821" s="25"/>
      <c r="E821" s="22" t="str">
        <f t="shared" si="3"/>
        <v xml:space="preserve"> </v>
      </c>
    </row>
    <row r="822" spans="1:5" ht="12.3">
      <c r="A822" s="26"/>
      <c r="B822" s="23" t="str">
        <f>IF(ISBLANK(A822)," ",VLOOKUP(A822,'Product Database'!A:B,2,FALSE))</f>
        <v xml:space="preserve"> </v>
      </c>
      <c r="C822" s="24" t="str">
        <f>IF(ISBLANK(A822),"",SUMIF(Input!A:A,A822,Input!B:B))</f>
        <v/>
      </c>
      <c r="D822" s="25"/>
      <c r="E822" s="22" t="str">
        <f t="shared" si="3"/>
        <v xml:space="preserve"> </v>
      </c>
    </row>
    <row r="823" spans="1:5" ht="12.3">
      <c r="A823" s="26"/>
      <c r="B823" s="23" t="str">
        <f>IF(ISBLANK(A823)," ",VLOOKUP(A823,'Product Database'!A:B,2,FALSE))</f>
        <v xml:space="preserve"> </v>
      </c>
      <c r="C823" s="24" t="str">
        <f>IF(ISBLANK(A823),"",SUMIF(Input!A:A,A823,Input!B:B))</f>
        <v/>
      </c>
      <c r="D823" s="25"/>
      <c r="E823" s="22" t="str">
        <f t="shared" si="3"/>
        <v xml:space="preserve"> </v>
      </c>
    </row>
    <row r="824" spans="1:5" ht="12.3">
      <c r="A824" s="26"/>
      <c r="B824" s="23" t="str">
        <f>IF(ISBLANK(A824)," ",VLOOKUP(A824,'Product Database'!A:B,2,FALSE))</f>
        <v xml:space="preserve"> </v>
      </c>
      <c r="C824" s="24" t="str">
        <f>IF(ISBLANK(A824),"",SUMIF(Input!A:A,A824,Input!B:B))</f>
        <v/>
      </c>
      <c r="D824" s="25"/>
      <c r="E824" s="22" t="str">
        <f t="shared" si="3"/>
        <v xml:space="preserve"> </v>
      </c>
    </row>
    <row r="825" spans="1:5" ht="12.3">
      <c r="A825" s="26"/>
      <c r="B825" s="23" t="str">
        <f>IF(ISBLANK(A825)," ",VLOOKUP(A825,'Product Database'!A:B,2,FALSE))</f>
        <v xml:space="preserve"> </v>
      </c>
      <c r="C825" s="24" t="str">
        <f>IF(ISBLANK(A825),"",SUMIF(Input!A:A,A825,Input!B:B))</f>
        <v/>
      </c>
      <c r="D825" s="25"/>
      <c r="E825" s="22" t="str">
        <f t="shared" si="3"/>
        <v xml:space="preserve"> </v>
      </c>
    </row>
    <row r="826" spans="1:5" ht="12.3">
      <c r="A826" s="26"/>
      <c r="B826" s="23" t="str">
        <f>IF(ISBLANK(A826)," ",VLOOKUP(A826,'Product Database'!A:B,2,FALSE))</f>
        <v xml:space="preserve"> </v>
      </c>
      <c r="C826" s="24" t="str">
        <f>IF(ISBLANK(A826),"",SUMIF(Input!A:A,A826,Input!B:B))</f>
        <v/>
      </c>
      <c r="D826" s="25"/>
      <c r="E826" s="22" t="str">
        <f t="shared" si="3"/>
        <v xml:space="preserve"> </v>
      </c>
    </row>
    <row r="827" spans="1:5" ht="12.3">
      <c r="A827" s="26"/>
      <c r="B827" s="23" t="str">
        <f>IF(ISBLANK(A827)," ",VLOOKUP(A827,'Product Database'!A:B,2,FALSE))</f>
        <v xml:space="preserve"> </v>
      </c>
      <c r="C827" s="24" t="str">
        <f>IF(ISBLANK(A827),"",SUMIF(Input!A:A,A827,Input!B:B))</f>
        <v/>
      </c>
      <c r="D827" s="25"/>
      <c r="E827" s="22" t="str">
        <f t="shared" si="3"/>
        <v xml:space="preserve"> </v>
      </c>
    </row>
    <row r="828" spans="1:5" ht="12.3">
      <c r="A828" s="26"/>
      <c r="B828" s="23" t="str">
        <f>IF(ISBLANK(A828)," ",VLOOKUP(A828,'Product Database'!A:B,2,FALSE))</f>
        <v xml:space="preserve"> </v>
      </c>
      <c r="C828" s="24" t="str">
        <f>IF(ISBLANK(A828),"",SUMIF(Input!A:A,A828,Input!B:B))</f>
        <v/>
      </c>
      <c r="D828" s="25"/>
      <c r="E828" s="22" t="str">
        <f t="shared" si="3"/>
        <v xml:space="preserve"> </v>
      </c>
    </row>
    <row r="829" spans="1:5" ht="12.3">
      <c r="A829" s="26"/>
      <c r="B829" s="23" t="str">
        <f>IF(ISBLANK(A829)," ",VLOOKUP(A829,'Product Database'!A:B,2,FALSE))</f>
        <v xml:space="preserve"> </v>
      </c>
      <c r="C829" s="24" t="str">
        <f>IF(ISBLANK(A829),"",SUMIF(Input!A:A,A829,Input!B:B))</f>
        <v/>
      </c>
      <c r="D829" s="25"/>
      <c r="E829" s="22" t="str">
        <f t="shared" si="3"/>
        <v xml:space="preserve"> </v>
      </c>
    </row>
    <row r="830" spans="1:5" ht="12.3">
      <c r="A830" s="26"/>
      <c r="B830" s="23" t="str">
        <f>IF(ISBLANK(A830)," ",VLOOKUP(A830,'Product Database'!A:B,2,FALSE))</f>
        <v xml:space="preserve"> </v>
      </c>
      <c r="C830" s="24" t="str">
        <f>IF(ISBLANK(A830),"",SUMIF(Input!A:A,A830,Input!B:B))</f>
        <v/>
      </c>
      <c r="D830" s="25"/>
      <c r="E830" s="22" t="str">
        <f t="shared" si="3"/>
        <v xml:space="preserve"> </v>
      </c>
    </row>
    <row r="831" spans="1:5" ht="12.3">
      <c r="A831" s="26"/>
      <c r="B831" s="23" t="str">
        <f>IF(ISBLANK(A831)," ",VLOOKUP(A831,'Product Database'!A:B,2,FALSE))</f>
        <v xml:space="preserve"> </v>
      </c>
      <c r="C831" s="24" t="str">
        <f>IF(ISBLANK(A831),"",SUMIF(Input!A:A,A831,Input!B:B))</f>
        <v/>
      </c>
      <c r="D831" s="25"/>
      <c r="E831" s="22" t="str">
        <f t="shared" si="3"/>
        <v xml:space="preserve"> </v>
      </c>
    </row>
    <row r="832" spans="1:5" ht="12.3">
      <c r="A832" s="26"/>
      <c r="B832" s="23" t="str">
        <f>IF(ISBLANK(A832)," ",VLOOKUP(A832,'Product Database'!A:B,2,FALSE))</f>
        <v xml:space="preserve"> </v>
      </c>
      <c r="C832" s="24" t="str">
        <f>IF(ISBLANK(A832),"",SUMIF(Input!A:A,A832,Input!B:B))</f>
        <v/>
      </c>
      <c r="D832" s="25"/>
      <c r="E832" s="22" t="str">
        <f t="shared" si="3"/>
        <v xml:space="preserve"> </v>
      </c>
    </row>
    <row r="833" spans="1:5" ht="12.3">
      <c r="A833" s="26"/>
      <c r="B833" s="23" t="str">
        <f>IF(ISBLANK(A833)," ",VLOOKUP(A833,'Product Database'!A:B,2,FALSE))</f>
        <v xml:space="preserve"> </v>
      </c>
      <c r="C833" s="24" t="str">
        <f>IF(ISBLANK(A833),"",SUMIF(Input!A:A,A833,Input!B:B))</f>
        <v/>
      </c>
      <c r="D833" s="25"/>
      <c r="E833" s="22" t="str">
        <f t="shared" si="3"/>
        <v xml:space="preserve"> </v>
      </c>
    </row>
    <row r="834" spans="1:5" ht="12.3">
      <c r="A834" s="26"/>
      <c r="B834" s="23" t="str">
        <f>IF(ISBLANK(A834)," ",VLOOKUP(A834,'Product Database'!A:B,2,FALSE))</f>
        <v xml:space="preserve"> </v>
      </c>
      <c r="C834" s="24" t="str">
        <f>IF(ISBLANK(A834),"",SUMIF(Input!A:A,A834,Input!B:B))</f>
        <v/>
      </c>
      <c r="D834" s="25"/>
      <c r="E834" s="22" t="str">
        <f t="shared" si="3"/>
        <v xml:space="preserve"> </v>
      </c>
    </row>
    <row r="835" spans="1:5" ht="12.3">
      <c r="A835" s="26"/>
      <c r="B835" s="23" t="str">
        <f>IF(ISBLANK(A835)," ",VLOOKUP(A835,'Product Database'!A:B,2,FALSE))</f>
        <v xml:space="preserve"> </v>
      </c>
      <c r="C835" s="24" t="str">
        <f>IF(ISBLANK(A835),"",SUMIF(Input!A:A,A835,Input!B:B))</f>
        <v/>
      </c>
      <c r="D835" s="25"/>
      <c r="E835" s="22" t="str">
        <f t="shared" si="3"/>
        <v xml:space="preserve"> </v>
      </c>
    </row>
    <row r="836" spans="1:5" ht="12.3">
      <c r="A836" s="26"/>
      <c r="B836" s="23" t="str">
        <f>IF(ISBLANK(A836)," ",VLOOKUP(A836,'Product Database'!A:B,2,FALSE))</f>
        <v xml:space="preserve"> </v>
      </c>
      <c r="C836" s="24" t="str">
        <f>IF(ISBLANK(A836),"",SUMIF(Input!A:A,A836,Input!B:B))</f>
        <v/>
      </c>
      <c r="D836" s="25"/>
      <c r="E836" s="22" t="str">
        <f t="shared" si="3"/>
        <v xml:space="preserve"> </v>
      </c>
    </row>
    <row r="837" spans="1:5" ht="12.3">
      <c r="A837" s="26"/>
      <c r="B837" s="23" t="str">
        <f>IF(ISBLANK(A837)," ",VLOOKUP(A837,'Product Database'!A:B,2,FALSE))</f>
        <v xml:space="preserve"> </v>
      </c>
      <c r="C837" s="24" t="str">
        <f>IF(ISBLANK(A837),"",SUMIF(Input!A:A,A837,Input!B:B))</f>
        <v/>
      </c>
      <c r="D837" s="25"/>
      <c r="E837" s="22" t="str">
        <f t="shared" si="3"/>
        <v xml:space="preserve"> </v>
      </c>
    </row>
    <row r="838" spans="1:5" ht="12.3">
      <c r="A838" s="26"/>
      <c r="B838" s="23" t="str">
        <f>IF(ISBLANK(A838)," ",VLOOKUP(A838,'Product Database'!A:B,2,FALSE))</f>
        <v xml:space="preserve"> </v>
      </c>
      <c r="C838" s="24" t="str">
        <f>IF(ISBLANK(A838),"",SUMIF(Input!A:A,A838,Input!B:B))</f>
        <v/>
      </c>
      <c r="D838" s="25"/>
      <c r="E838" s="22" t="str">
        <f t="shared" si="3"/>
        <v xml:space="preserve"> </v>
      </c>
    </row>
    <row r="839" spans="1:5" ht="12.3">
      <c r="A839" s="26"/>
      <c r="B839" s="23" t="str">
        <f>IF(ISBLANK(A839)," ",VLOOKUP(A839,'Product Database'!A:B,2,FALSE))</f>
        <v xml:space="preserve"> </v>
      </c>
      <c r="C839" s="24" t="str">
        <f>IF(ISBLANK(A839),"",SUMIF(Input!A:A,A839,Input!B:B))</f>
        <v/>
      </c>
      <c r="D839" s="25"/>
      <c r="E839" s="22" t="str">
        <f t="shared" si="3"/>
        <v xml:space="preserve"> </v>
      </c>
    </row>
    <row r="840" spans="1:5" ht="12.3">
      <c r="A840" s="26"/>
      <c r="B840" s="23" t="str">
        <f>IF(ISBLANK(A840)," ",VLOOKUP(A840,'Product Database'!A:B,2,FALSE))</f>
        <v xml:space="preserve"> </v>
      </c>
      <c r="C840" s="24" t="str">
        <f>IF(ISBLANK(A840),"",SUMIF(Input!A:A,A840,Input!B:B))</f>
        <v/>
      </c>
      <c r="D840" s="25"/>
      <c r="E840" s="22" t="str">
        <f t="shared" si="3"/>
        <v xml:space="preserve"> </v>
      </c>
    </row>
    <row r="841" spans="1:5" ht="12.3">
      <c r="A841" s="26"/>
      <c r="B841" s="23" t="str">
        <f>IF(ISBLANK(A841)," ",VLOOKUP(A841,'Product Database'!A:B,2,FALSE))</f>
        <v xml:space="preserve"> </v>
      </c>
      <c r="C841" s="24" t="str">
        <f>IF(ISBLANK(A841),"",SUMIF(Input!A:A,A841,Input!B:B))</f>
        <v/>
      </c>
      <c r="D841" s="25"/>
      <c r="E841" s="22" t="str">
        <f t="shared" si="3"/>
        <v xml:space="preserve"> </v>
      </c>
    </row>
    <row r="842" spans="1:5" ht="12.3">
      <c r="A842" s="26"/>
      <c r="B842" s="23" t="str">
        <f>IF(ISBLANK(A842)," ",VLOOKUP(A842,'Product Database'!A:B,2,FALSE))</f>
        <v xml:space="preserve"> </v>
      </c>
      <c r="C842" s="24" t="str">
        <f>IF(ISBLANK(A842),"",SUMIF(Input!A:A,A842,Input!B:B))</f>
        <v/>
      </c>
      <c r="D842" s="25"/>
      <c r="E842" s="22" t="str">
        <f t="shared" si="3"/>
        <v xml:space="preserve"> </v>
      </c>
    </row>
    <row r="843" spans="1:5" ht="12.3">
      <c r="A843" s="26"/>
      <c r="B843" s="23" t="str">
        <f>IF(ISBLANK(A843)," ",VLOOKUP(A843,'Product Database'!A:B,2,FALSE))</f>
        <v xml:space="preserve"> </v>
      </c>
      <c r="C843" s="24" t="str">
        <f>IF(ISBLANK(A843),"",SUMIF(Input!A:A,A843,Input!B:B))</f>
        <v/>
      </c>
      <c r="D843" s="25"/>
      <c r="E843" s="22" t="str">
        <f t="shared" si="3"/>
        <v xml:space="preserve"> </v>
      </c>
    </row>
    <row r="844" spans="1:5" ht="12.3">
      <c r="A844" s="26"/>
      <c r="B844" s="23" t="str">
        <f>IF(ISBLANK(A844)," ",VLOOKUP(A844,'Product Database'!A:B,2,FALSE))</f>
        <v xml:space="preserve"> </v>
      </c>
      <c r="C844" s="24" t="str">
        <f>IF(ISBLANK(A844),"",SUMIF(Input!A:A,A844,Input!B:B))</f>
        <v/>
      </c>
      <c r="D844" s="25"/>
      <c r="E844" s="22" t="str">
        <f t="shared" si="3"/>
        <v xml:space="preserve"> </v>
      </c>
    </row>
    <row r="845" spans="1:5" ht="12.3">
      <c r="A845" s="26"/>
      <c r="B845" s="23" t="str">
        <f>IF(ISBLANK(A845)," ",VLOOKUP(A845,'Product Database'!A:B,2,FALSE))</f>
        <v xml:space="preserve"> </v>
      </c>
      <c r="C845" s="24" t="str">
        <f>IF(ISBLANK(A845),"",SUMIF(Input!A:A,A845,Input!B:B))</f>
        <v/>
      </c>
      <c r="D845" s="25"/>
      <c r="E845" s="22" t="str">
        <f t="shared" si="3"/>
        <v xml:space="preserve"> </v>
      </c>
    </row>
    <row r="846" spans="1:5" ht="12.3">
      <c r="A846" s="26"/>
      <c r="B846" s="23" t="str">
        <f>IF(ISBLANK(A846)," ",VLOOKUP(A846,'Product Database'!A:B,2,FALSE))</f>
        <v xml:space="preserve"> </v>
      </c>
      <c r="C846" s="24" t="str">
        <f>IF(ISBLANK(A846),"",SUMIF(Input!A:A,A846,Input!B:B))</f>
        <v/>
      </c>
      <c r="D846" s="25"/>
      <c r="E846" s="22" t="str">
        <f t="shared" si="3"/>
        <v xml:space="preserve"> </v>
      </c>
    </row>
    <row r="847" spans="1:5" ht="12.3">
      <c r="A847" s="26"/>
      <c r="B847" s="23" t="str">
        <f>IF(ISBLANK(A847)," ",VLOOKUP(A847,'Product Database'!A:B,2,FALSE))</f>
        <v xml:space="preserve"> </v>
      </c>
      <c r="C847" s="24" t="str">
        <f>IF(ISBLANK(A847),"",SUMIF(Input!A:A,A847,Input!B:B))</f>
        <v/>
      </c>
      <c r="D847" s="25"/>
      <c r="E847" s="22" t="str">
        <f t="shared" si="3"/>
        <v xml:space="preserve"> </v>
      </c>
    </row>
    <row r="848" spans="1:5" ht="12.3">
      <c r="A848" s="26"/>
      <c r="B848" s="23" t="str">
        <f>IF(ISBLANK(A848)," ",VLOOKUP(A848,'Product Database'!A:B,2,FALSE))</f>
        <v xml:space="preserve"> </v>
      </c>
      <c r="C848" s="24" t="str">
        <f>IF(ISBLANK(A848),"",SUMIF(Input!A:A,A848,Input!B:B))</f>
        <v/>
      </c>
      <c r="D848" s="25"/>
      <c r="E848" s="22" t="str">
        <f t="shared" si="3"/>
        <v xml:space="preserve"> </v>
      </c>
    </row>
    <row r="849" spans="1:5" ht="12.3">
      <c r="A849" s="26"/>
      <c r="B849" s="23" t="str">
        <f>IF(ISBLANK(A849)," ",VLOOKUP(A849,'Product Database'!A:B,2,FALSE))</f>
        <v xml:space="preserve"> </v>
      </c>
      <c r="C849" s="24" t="str">
        <f>IF(ISBLANK(A849),"",SUMIF(Input!A:A,A849,Input!B:B))</f>
        <v/>
      </c>
      <c r="D849" s="25"/>
      <c r="E849" s="22" t="str">
        <f t="shared" si="3"/>
        <v xml:space="preserve"> </v>
      </c>
    </row>
    <row r="850" spans="1:5" ht="12.3">
      <c r="A850" s="26"/>
      <c r="B850" s="23" t="str">
        <f>IF(ISBLANK(A850)," ",VLOOKUP(A850,'Product Database'!A:B,2,FALSE))</f>
        <v xml:space="preserve"> </v>
      </c>
      <c r="C850" s="24" t="str">
        <f>IF(ISBLANK(A850),"",SUMIF(Input!A:A,A850,Input!B:B))</f>
        <v/>
      </c>
      <c r="D850" s="25"/>
      <c r="E850" s="22" t="str">
        <f t="shared" si="3"/>
        <v xml:space="preserve"> </v>
      </c>
    </row>
    <row r="851" spans="1:5" ht="12.3">
      <c r="A851" s="26"/>
      <c r="B851" s="23" t="str">
        <f>IF(ISBLANK(A851)," ",VLOOKUP(A851,'Product Database'!A:B,2,FALSE))</f>
        <v xml:space="preserve"> </v>
      </c>
      <c r="C851" s="24" t="str">
        <f>IF(ISBLANK(A851),"",SUMIF(Input!A:A,A851,Input!B:B))</f>
        <v/>
      </c>
      <c r="D851" s="25"/>
      <c r="E851" s="22" t="str">
        <f t="shared" si="3"/>
        <v xml:space="preserve"> </v>
      </c>
    </row>
    <row r="852" spans="1:5" ht="12.3">
      <c r="A852" s="26"/>
      <c r="B852" s="23" t="str">
        <f>IF(ISBLANK(A852)," ",VLOOKUP(A852,'Product Database'!A:B,2,FALSE))</f>
        <v xml:space="preserve"> </v>
      </c>
      <c r="C852" s="24" t="str">
        <f>IF(ISBLANK(A852),"",SUMIF(Input!A:A,A852,Input!B:B))</f>
        <v/>
      </c>
      <c r="D852" s="25"/>
      <c r="E852" s="22" t="str">
        <f t="shared" si="3"/>
        <v xml:space="preserve"> </v>
      </c>
    </row>
    <row r="853" spans="1:5" ht="12.3">
      <c r="A853" s="26"/>
      <c r="B853" s="23" t="str">
        <f>IF(ISBLANK(A853)," ",VLOOKUP(A853,'Product Database'!A:B,2,FALSE))</f>
        <v xml:space="preserve"> </v>
      </c>
      <c r="C853" s="24" t="str">
        <f>IF(ISBLANK(A853),"",SUMIF(Input!A:A,A853,Input!B:B))</f>
        <v/>
      </c>
      <c r="D853" s="25"/>
      <c r="E853" s="22" t="str">
        <f t="shared" si="3"/>
        <v xml:space="preserve"> </v>
      </c>
    </row>
    <row r="854" spans="1:5" ht="12.3">
      <c r="A854" s="26"/>
      <c r="B854" s="23" t="str">
        <f>IF(ISBLANK(A854)," ",VLOOKUP(A854,'Product Database'!A:B,2,FALSE))</f>
        <v xml:space="preserve"> </v>
      </c>
      <c r="C854" s="24" t="str">
        <f>IF(ISBLANK(A854),"",SUMIF(Input!A:A,A854,Input!B:B))</f>
        <v/>
      </c>
      <c r="D854" s="25"/>
      <c r="E854" s="22" t="str">
        <f t="shared" si="3"/>
        <v xml:space="preserve"> </v>
      </c>
    </row>
    <row r="855" spans="1:5" ht="12.3">
      <c r="A855" s="26"/>
      <c r="B855" s="23" t="str">
        <f>IF(ISBLANK(A855)," ",VLOOKUP(A855,'Product Database'!A:B,2,FALSE))</f>
        <v xml:space="preserve"> </v>
      </c>
      <c r="C855" s="24" t="str">
        <f>IF(ISBLANK(A855),"",SUMIF(Input!A:A,A855,Input!B:B))</f>
        <v/>
      </c>
      <c r="D855" s="25"/>
      <c r="E855" s="22" t="str">
        <f t="shared" si="3"/>
        <v xml:space="preserve"> </v>
      </c>
    </row>
    <row r="856" spans="1:5" ht="12.3">
      <c r="A856" s="26"/>
      <c r="B856" s="23" t="str">
        <f>IF(ISBLANK(A856)," ",VLOOKUP(A856,'Product Database'!A:B,2,FALSE))</f>
        <v xml:space="preserve"> </v>
      </c>
      <c r="C856" s="24" t="str">
        <f>IF(ISBLANK(A856),"",SUMIF(Input!A:A,A856,Input!B:B))</f>
        <v/>
      </c>
      <c r="D856" s="25"/>
      <c r="E856" s="22" t="str">
        <f t="shared" si="3"/>
        <v xml:space="preserve"> </v>
      </c>
    </row>
    <row r="857" spans="1:5" ht="12.3">
      <c r="A857" s="26"/>
      <c r="B857" s="23" t="str">
        <f>IF(ISBLANK(A857)," ",VLOOKUP(A857,'Product Database'!A:B,2,FALSE))</f>
        <v xml:space="preserve"> </v>
      </c>
      <c r="C857" s="24" t="str">
        <f>IF(ISBLANK(A857),"",SUMIF(Input!A:A,A857,Input!B:B))</f>
        <v/>
      </c>
      <c r="D857" s="25"/>
      <c r="E857" s="22" t="str">
        <f t="shared" si="3"/>
        <v xml:space="preserve"> </v>
      </c>
    </row>
    <row r="858" spans="1:5" ht="12.3">
      <c r="A858" s="26"/>
      <c r="B858" s="23" t="str">
        <f>IF(ISBLANK(A858)," ",VLOOKUP(A858,'Product Database'!A:B,2,FALSE))</f>
        <v xml:space="preserve"> </v>
      </c>
      <c r="C858" s="24" t="str">
        <f>IF(ISBLANK(A858),"",SUMIF(Input!A:A,A858,Input!B:B))</f>
        <v/>
      </c>
      <c r="D858" s="25"/>
      <c r="E858" s="22" t="str">
        <f t="shared" si="3"/>
        <v xml:space="preserve"> </v>
      </c>
    </row>
    <row r="859" spans="1:5" ht="12.3">
      <c r="A859" s="26"/>
      <c r="B859" s="23" t="str">
        <f>IF(ISBLANK(A859)," ",VLOOKUP(A859,'Product Database'!A:B,2,FALSE))</f>
        <v xml:space="preserve"> </v>
      </c>
      <c r="C859" s="24" t="str">
        <f>IF(ISBLANK(A859),"",SUMIF(Input!A:A,A859,Input!B:B))</f>
        <v/>
      </c>
      <c r="D859" s="25"/>
      <c r="E859" s="22" t="str">
        <f t="shared" si="3"/>
        <v xml:space="preserve"> </v>
      </c>
    </row>
    <row r="860" spans="1:5" ht="12.3">
      <c r="A860" s="26"/>
      <c r="B860" s="23" t="str">
        <f>IF(ISBLANK(A860)," ",VLOOKUP(A860,'Product Database'!A:B,2,FALSE))</f>
        <v xml:space="preserve"> </v>
      </c>
      <c r="C860" s="24" t="str">
        <f>IF(ISBLANK(A860),"",SUMIF(Input!A:A,A860,Input!B:B))</f>
        <v/>
      </c>
      <c r="D860" s="25"/>
      <c r="E860" s="22" t="str">
        <f t="shared" si="3"/>
        <v xml:space="preserve"> </v>
      </c>
    </row>
    <row r="861" spans="1:5" ht="12.3">
      <c r="A861" s="26"/>
      <c r="B861" s="23" t="str">
        <f>IF(ISBLANK(A861)," ",VLOOKUP(A861,'Product Database'!A:B,2,FALSE))</f>
        <v xml:space="preserve"> </v>
      </c>
      <c r="C861" s="24" t="str">
        <f>IF(ISBLANK(A861),"",SUMIF(Input!A:A,A861,Input!B:B))</f>
        <v/>
      </c>
      <c r="D861" s="25"/>
      <c r="E861" s="22" t="str">
        <f t="shared" si="3"/>
        <v xml:space="preserve"> </v>
      </c>
    </row>
    <row r="862" spans="1:5" ht="12.3">
      <c r="A862" s="26"/>
      <c r="B862" s="23" t="str">
        <f>IF(ISBLANK(A862)," ",VLOOKUP(A862,'Product Database'!A:B,2,FALSE))</f>
        <v xml:space="preserve"> </v>
      </c>
      <c r="C862" s="24" t="str">
        <f>IF(ISBLANK(A862),"",SUMIF(Input!A:A,A862,Input!B:B))</f>
        <v/>
      </c>
      <c r="D862" s="25"/>
      <c r="E862" s="22" t="str">
        <f t="shared" si="3"/>
        <v xml:space="preserve"> </v>
      </c>
    </row>
    <row r="863" spans="1:5" ht="12.3">
      <c r="A863" s="26"/>
      <c r="B863" s="23" t="str">
        <f>IF(ISBLANK(A863)," ",VLOOKUP(A863,'Product Database'!A:B,2,FALSE))</f>
        <v xml:space="preserve"> </v>
      </c>
      <c r="C863" s="24" t="str">
        <f>IF(ISBLANK(A863),"",SUMIF(Input!A:A,A863,Input!B:B))</f>
        <v/>
      </c>
      <c r="D863" s="25"/>
      <c r="E863" s="22" t="str">
        <f t="shared" si="3"/>
        <v xml:space="preserve"> </v>
      </c>
    </row>
    <row r="864" spans="1:5" ht="12.3">
      <c r="A864" s="26"/>
      <c r="B864" s="23" t="str">
        <f>IF(ISBLANK(A864)," ",VLOOKUP(A864,'Product Database'!A:B,2,FALSE))</f>
        <v xml:space="preserve"> </v>
      </c>
      <c r="C864" s="24" t="str">
        <f>IF(ISBLANK(A864),"",SUMIF(Input!A:A,A864,Input!B:B))</f>
        <v/>
      </c>
      <c r="D864" s="25"/>
      <c r="E864" s="22" t="str">
        <f t="shared" si="3"/>
        <v xml:space="preserve"> </v>
      </c>
    </row>
    <row r="865" spans="1:5" ht="12.3">
      <c r="A865" s="26"/>
      <c r="B865" s="23" t="str">
        <f>IF(ISBLANK(A865)," ",VLOOKUP(A865,'Product Database'!A:B,2,FALSE))</f>
        <v xml:space="preserve"> </v>
      </c>
      <c r="C865" s="24" t="str">
        <f>IF(ISBLANK(A865),"",SUMIF(Input!A:A,A865,Input!B:B))</f>
        <v/>
      </c>
      <c r="D865" s="25"/>
      <c r="E865" s="22" t="str">
        <f t="shared" si="3"/>
        <v xml:space="preserve"> </v>
      </c>
    </row>
    <row r="866" spans="1:5" ht="12.3">
      <c r="A866" s="26"/>
      <c r="B866" s="23" t="str">
        <f>IF(ISBLANK(A866)," ",VLOOKUP(A866,'Product Database'!A:B,2,FALSE))</f>
        <v xml:space="preserve"> </v>
      </c>
      <c r="C866" s="24" t="str">
        <f>IF(ISBLANK(A866),"",SUMIF(Input!A:A,A866,Input!B:B))</f>
        <v/>
      </c>
      <c r="D866" s="25"/>
      <c r="E866" s="22" t="str">
        <f t="shared" si="3"/>
        <v xml:space="preserve"> </v>
      </c>
    </row>
    <row r="867" spans="1:5" ht="12.3">
      <c r="A867" s="26"/>
      <c r="B867" s="23" t="str">
        <f>IF(ISBLANK(A867)," ",VLOOKUP(A867,'Product Database'!A:B,2,FALSE))</f>
        <v xml:space="preserve"> </v>
      </c>
      <c r="C867" s="24" t="str">
        <f>IF(ISBLANK(A867),"",SUMIF(Input!A:A,A867,Input!B:B))</f>
        <v/>
      </c>
      <c r="D867" s="25"/>
      <c r="E867" s="22" t="str">
        <f t="shared" si="3"/>
        <v xml:space="preserve"> </v>
      </c>
    </row>
    <row r="868" spans="1:5" ht="12.3">
      <c r="A868" s="26"/>
      <c r="B868" s="23" t="str">
        <f>IF(ISBLANK(A868)," ",VLOOKUP(A868,'Product Database'!A:B,2,FALSE))</f>
        <v xml:space="preserve"> </v>
      </c>
      <c r="C868" s="24" t="str">
        <f>IF(ISBLANK(A868),"",SUMIF(Input!A:A,A868,Input!B:B))</f>
        <v/>
      </c>
      <c r="D868" s="25"/>
      <c r="E868" s="22" t="str">
        <f t="shared" si="3"/>
        <v xml:space="preserve"> </v>
      </c>
    </row>
    <row r="869" spans="1:5" ht="12.3">
      <c r="A869" s="26"/>
      <c r="B869" s="23" t="str">
        <f>IF(ISBLANK(A869)," ",VLOOKUP(A869,'Product Database'!A:B,2,FALSE))</f>
        <v xml:space="preserve"> </v>
      </c>
      <c r="C869" s="24" t="str">
        <f>IF(ISBLANK(A869),"",SUMIF(Input!A:A,A869,Input!B:B))</f>
        <v/>
      </c>
      <c r="D869" s="25"/>
      <c r="E869" s="22" t="str">
        <f t="shared" si="3"/>
        <v xml:space="preserve"> </v>
      </c>
    </row>
    <row r="870" spans="1:5" ht="12.3">
      <c r="A870" s="26"/>
      <c r="B870" s="23" t="str">
        <f>IF(ISBLANK(A870)," ",VLOOKUP(A870,'Product Database'!A:B,2,FALSE))</f>
        <v xml:space="preserve"> </v>
      </c>
      <c r="C870" s="24" t="str">
        <f>IF(ISBLANK(A870),"",SUMIF(Input!A:A,A870,Input!B:B))</f>
        <v/>
      </c>
      <c r="D870" s="25"/>
      <c r="E870" s="22" t="str">
        <f t="shared" si="3"/>
        <v xml:space="preserve"> </v>
      </c>
    </row>
    <row r="871" spans="1:5" ht="12.3">
      <c r="A871" s="26"/>
      <c r="B871" s="23" t="str">
        <f>IF(ISBLANK(A871)," ",VLOOKUP(A871,'Product Database'!A:B,2,FALSE))</f>
        <v xml:space="preserve"> </v>
      </c>
      <c r="C871" s="24" t="str">
        <f>IF(ISBLANK(A871),"",SUMIF(Input!A:A,A871,Input!B:B))</f>
        <v/>
      </c>
      <c r="D871" s="25"/>
      <c r="E871" s="22" t="str">
        <f t="shared" si="3"/>
        <v xml:space="preserve"> </v>
      </c>
    </row>
    <row r="872" spans="1:5" ht="12.3">
      <c r="A872" s="26"/>
      <c r="B872" s="23" t="str">
        <f>IF(ISBLANK(A872)," ",VLOOKUP(A872,'Product Database'!A:B,2,FALSE))</f>
        <v xml:space="preserve"> </v>
      </c>
      <c r="C872" s="24" t="str">
        <f>IF(ISBLANK(A872),"",SUMIF(Input!A:A,A872,Input!B:B))</f>
        <v/>
      </c>
      <c r="D872" s="25"/>
      <c r="E872" s="22" t="str">
        <f t="shared" si="3"/>
        <v xml:space="preserve"> </v>
      </c>
    </row>
    <row r="873" spans="1:5" ht="12.3">
      <c r="A873" s="26"/>
      <c r="B873" s="23" t="str">
        <f>IF(ISBLANK(A873)," ",VLOOKUP(A873,'Product Database'!A:B,2,FALSE))</f>
        <v xml:space="preserve"> </v>
      </c>
      <c r="C873" s="24" t="str">
        <f>IF(ISBLANK(A873),"",SUMIF(Input!A:A,A873,Input!B:B))</f>
        <v/>
      </c>
      <c r="D873" s="25"/>
      <c r="E873" s="22" t="str">
        <f t="shared" si="3"/>
        <v xml:space="preserve"> </v>
      </c>
    </row>
    <row r="874" spans="1:5" ht="12.3">
      <c r="A874" s="26"/>
      <c r="B874" s="23" t="str">
        <f>IF(ISBLANK(A874)," ",VLOOKUP(A874,'Product Database'!A:B,2,FALSE))</f>
        <v xml:space="preserve"> </v>
      </c>
      <c r="C874" s="24" t="str">
        <f>IF(ISBLANK(A874),"",SUMIF(Input!A:A,A874,Input!B:B))</f>
        <v/>
      </c>
      <c r="D874" s="25"/>
      <c r="E874" s="22" t="str">
        <f t="shared" si="3"/>
        <v xml:space="preserve"> </v>
      </c>
    </row>
    <row r="875" spans="1:5" ht="12.3">
      <c r="A875" s="26"/>
      <c r="B875" s="23" t="str">
        <f>IF(ISBLANK(A875)," ",VLOOKUP(A875,'Product Database'!A:B,2,FALSE))</f>
        <v xml:space="preserve"> </v>
      </c>
      <c r="C875" s="24" t="str">
        <f>IF(ISBLANK(A875),"",SUMIF(Input!A:A,A875,Input!B:B))</f>
        <v/>
      </c>
      <c r="D875" s="25"/>
      <c r="E875" s="22" t="str">
        <f t="shared" si="3"/>
        <v xml:space="preserve"> </v>
      </c>
    </row>
    <row r="876" spans="1:5" ht="12.3">
      <c r="A876" s="26"/>
      <c r="B876" s="23" t="str">
        <f>IF(ISBLANK(A876)," ",VLOOKUP(A876,'Product Database'!A:B,2,FALSE))</f>
        <v xml:space="preserve"> </v>
      </c>
      <c r="C876" s="24" t="str">
        <f>IF(ISBLANK(A876),"",SUMIF(Input!A:A,A876,Input!B:B))</f>
        <v/>
      </c>
      <c r="D876" s="25"/>
      <c r="E876" s="22" t="str">
        <f t="shared" si="3"/>
        <v xml:space="preserve"> </v>
      </c>
    </row>
    <row r="877" spans="1:5" ht="12.3">
      <c r="A877" s="26"/>
      <c r="B877" s="23" t="str">
        <f>IF(ISBLANK(A877)," ",VLOOKUP(A877,'Product Database'!A:B,2,FALSE))</f>
        <v xml:space="preserve"> </v>
      </c>
      <c r="C877" s="24" t="str">
        <f>IF(ISBLANK(A877),"",SUMIF(Input!A:A,A877,Input!B:B))</f>
        <v/>
      </c>
      <c r="D877" s="25"/>
      <c r="E877" s="22" t="str">
        <f t="shared" si="3"/>
        <v xml:space="preserve"> </v>
      </c>
    </row>
    <row r="878" spans="1:5" ht="12.3">
      <c r="A878" s="26"/>
      <c r="B878" s="23" t="str">
        <f>IF(ISBLANK(A878)," ",VLOOKUP(A878,'Product Database'!A:B,2,FALSE))</f>
        <v xml:space="preserve"> </v>
      </c>
      <c r="C878" s="24" t="str">
        <f>IF(ISBLANK(A878),"",SUMIF(Input!A:A,A878,Input!B:B))</f>
        <v/>
      </c>
      <c r="D878" s="25"/>
      <c r="E878" s="22" t="str">
        <f t="shared" si="3"/>
        <v xml:space="preserve"> </v>
      </c>
    </row>
    <row r="879" spans="1:5" ht="12.3">
      <c r="A879" s="26"/>
      <c r="B879" s="23" t="str">
        <f>IF(ISBLANK(A879)," ",VLOOKUP(A879,'Product Database'!A:B,2,FALSE))</f>
        <v xml:space="preserve"> </v>
      </c>
      <c r="C879" s="24" t="str">
        <f>IF(ISBLANK(A879),"",SUMIF(Input!A:A,A879,Input!B:B))</f>
        <v/>
      </c>
      <c r="D879" s="25"/>
      <c r="E879" s="22" t="str">
        <f t="shared" si="3"/>
        <v xml:space="preserve"> </v>
      </c>
    </row>
    <row r="880" spans="1:5" ht="12.3">
      <c r="A880" s="26"/>
      <c r="B880" s="23" t="str">
        <f>IF(ISBLANK(A880)," ",VLOOKUP(A880,'Product Database'!A:B,2,FALSE))</f>
        <v xml:space="preserve"> </v>
      </c>
      <c r="C880" s="24" t="str">
        <f>IF(ISBLANK(A880),"",SUMIF(Input!A:A,A880,Input!B:B))</f>
        <v/>
      </c>
      <c r="D880" s="25"/>
      <c r="E880" s="22" t="str">
        <f t="shared" si="3"/>
        <v xml:space="preserve"> </v>
      </c>
    </row>
    <row r="881" spans="1:5" ht="12.3">
      <c r="A881" s="26"/>
      <c r="B881" s="23" t="str">
        <f>IF(ISBLANK(A881)," ",VLOOKUP(A881,'Product Database'!A:B,2,FALSE))</f>
        <v xml:space="preserve"> </v>
      </c>
      <c r="C881" s="24" t="str">
        <f>IF(ISBLANK(A881),"",SUMIF(Input!A:A,A881,Input!B:B))</f>
        <v/>
      </c>
      <c r="D881" s="25"/>
      <c r="E881" s="22" t="str">
        <f t="shared" si="3"/>
        <v xml:space="preserve"> </v>
      </c>
    </row>
    <row r="882" spans="1:5" ht="12.3">
      <c r="A882" s="26"/>
      <c r="B882" s="23" t="str">
        <f>IF(ISBLANK(A882)," ",VLOOKUP(A882,'Product Database'!A:B,2,FALSE))</f>
        <v xml:space="preserve"> </v>
      </c>
      <c r="C882" s="24" t="str">
        <f>IF(ISBLANK(A882),"",SUMIF(Input!A:A,A882,Input!B:B))</f>
        <v/>
      </c>
      <c r="D882" s="25"/>
      <c r="E882" s="22" t="str">
        <f t="shared" si="3"/>
        <v xml:space="preserve"> </v>
      </c>
    </row>
    <row r="883" spans="1:5" ht="12.3">
      <c r="A883" s="26"/>
      <c r="B883" s="23" t="str">
        <f>IF(ISBLANK(A883)," ",VLOOKUP(A883,'Product Database'!A:B,2,FALSE))</f>
        <v xml:space="preserve"> </v>
      </c>
      <c r="C883" s="24" t="str">
        <f>IF(ISBLANK(A883),"",SUMIF(Input!A:A,A883,Input!B:B))</f>
        <v/>
      </c>
      <c r="D883" s="25"/>
      <c r="E883" s="22" t="str">
        <f t="shared" si="3"/>
        <v xml:space="preserve"> </v>
      </c>
    </row>
    <row r="884" spans="1:5" ht="12.3">
      <c r="A884" s="26"/>
      <c r="B884" s="23" t="str">
        <f>IF(ISBLANK(A884)," ",VLOOKUP(A884,'Product Database'!A:B,2,FALSE))</f>
        <v xml:space="preserve"> </v>
      </c>
      <c r="C884" s="24" t="str">
        <f>IF(ISBLANK(A884),"",SUMIF(Input!A:A,A884,Input!B:B))</f>
        <v/>
      </c>
      <c r="D884" s="25"/>
      <c r="E884" s="22" t="str">
        <f t="shared" si="3"/>
        <v xml:space="preserve"> </v>
      </c>
    </row>
    <row r="885" spans="1:5" ht="12.3">
      <c r="A885" s="26"/>
      <c r="B885" s="23" t="str">
        <f>IF(ISBLANK(A885)," ",VLOOKUP(A885,'Product Database'!A:B,2,FALSE))</f>
        <v xml:space="preserve"> </v>
      </c>
      <c r="C885" s="24" t="str">
        <f>IF(ISBLANK(A885),"",SUMIF(Input!A:A,A885,Input!B:B))</f>
        <v/>
      </c>
      <c r="D885" s="25"/>
      <c r="E885" s="22" t="str">
        <f t="shared" si="3"/>
        <v xml:space="preserve"> </v>
      </c>
    </row>
    <row r="886" spans="1:5" ht="12.3">
      <c r="A886" s="26"/>
      <c r="B886" s="23" t="str">
        <f>IF(ISBLANK(A886)," ",VLOOKUP(A886,'Product Database'!A:B,2,FALSE))</f>
        <v xml:space="preserve"> </v>
      </c>
      <c r="C886" s="24" t="str">
        <f>IF(ISBLANK(A886),"",SUMIF(Input!A:A,A886,Input!B:B))</f>
        <v/>
      </c>
      <c r="D886" s="25"/>
      <c r="E886" s="22" t="str">
        <f t="shared" si="3"/>
        <v xml:space="preserve"> </v>
      </c>
    </row>
    <row r="887" spans="1:5" ht="12.3">
      <c r="A887" s="26"/>
      <c r="B887" s="23" t="str">
        <f>IF(ISBLANK(A887)," ",VLOOKUP(A887,'Product Database'!A:B,2,FALSE))</f>
        <v xml:space="preserve"> </v>
      </c>
      <c r="C887" s="24" t="str">
        <f>IF(ISBLANK(A887),"",SUMIF(Input!A:A,A887,Input!B:B))</f>
        <v/>
      </c>
      <c r="D887" s="25"/>
      <c r="E887" s="22" t="str">
        <f t="shared" si="3"/>
        <v xml:space="preserve"> </v>
      </c>
    </row>
    <row r="888" spans="1:5" ht="12.3">
      <c r="A888" s="26"/>
      <c r="B888" s="23" t="str">
        <f>IF(ISBLANK(A888)," ",VLOOKUP(A888,'Product Database'!A:B,2,FALSE))</f>
        <v xml:space="preserve"> </v>
      </c>
      <c r="C888" s="24" t="str">
        <f>IF(ISBLANK(A888),"",SUMIF(Input!A:A,A888,Input!B:B))</f>
        <v/>
      </c>
      <c r="D888" s="25"/>
      <c r="E888" s="22" t="str">
        <f t="shared" si="3"/>
        <v xml:space="preserve"> </v>
      </c>
    </row>
    <row r="889" spans="1:5" ht="12.3">
      <c r="A889" s="26"/>
      <c r="B889" s="23" t="str">
        <f>IF(ISBLANK(A889)," ",VLOOKUP(A889,'Product Database'!A:B,2,FALSE))</f>
        <v xml:space="preserve"> </v>
      </c>
      <c r="C889" s="24" t="str">
        <f>IF(ISBLANK(A889),"",SUMIF(Input!A:A,A889,Input!B:B))</f>
        <v/>
      </c>
      <c r="D889" s="25"/>
      <c r="E889" s="22" t="str">
        <f t="shared" si="3"/>
        <v xml:space="preserve"> </v>
      </c>
    </row>
    <row r="890" spans="1:5" ht="12.3">
      <c r="A890" s="26"/>
      <c r="B890" s="23" t="str">
        <f>IF(ISBLANK(A890)," ",VLOOKUP(A890,'Product Database'!A:B,2,FALSE))</f>
        <v xml:space="preserve"> </v>
      </c>
      <c r="C890" s="24" t="str">
        <f>IF(ISBLANK(A890),"",SUMIF(Input!A:A,A890,Input!B:B))</f>
        <v/>
      </c>
      <c r="D890" s="25"/>
      <c r="E890" s="22" t="str">
        <f t="shared" si="3"/>
        <v xml:space="preserve"> </v>
      </c>
    </row>
    <row r="891" spans="1:5" ht="12.3">
      <c r="A891" s="26"/>
      <c r="B891" s="23" t="str">
        <f>IF(ISBLANK(A891)," ",VLOOKUP(A891,'Product Database'!A:B,2,FALSE))</f>
        <v xml:space="preserve"> </v>
      </c>
      <c r="C891" s="24" t="str">
        <f>IF(ISBLANK(A891),"",SUMIF(Input!A:A,A891,Input!B:B))</f>
        <v/>
      </c>
      <c r="D891" s="25"/>
      <c r="E891" s="22" t="str">
        <f t="shared" si="3"/>
        <v xml:space="preserve"> </v>
      </c>
    </row>
    <row r="892" spans="1:5" ht="12.3">
      <c r="A892" s="26"/>
      <c r="B892" s="23" t="str">
        <f>IF(ISBLANK(A892)," ",VLOOKUP(A892,'Product Database'!A:B,2,FALSE))</f>
        <v xml:space="preserve"> </v>
      </c>
      <c r="C892" s="24" t="str">
        <f>IF(ISBLANK(A892),"",SUMIF(Input!A:A,A892,Input!B:B))</f>
        <v/>
      </c>
      <c r="D892" s="25"/>
      <c r="E892" s="22" t="str">
        <f t="shared" si="3"/>
        <v xml:space="preserve"> </v>
      </c>
    </row>
    <row r="893" spans="1:5" ht="12.3">
      <c r="A893" s="26"/>
      <c r="B893" s="23" t="str">
        <f>IF(ISBLANK(A893)," ",VLOOKUP(A893,'Product Database'!A:B,2,FALSE))</f>
        <v xml:space="preserve"> </v>
      </c>
      <c r="C893" s="24" t="str">
        <f>IF(ISBLANK(A893),"",SUMIF(Input!A:A,A893,Input!B:B))</f>
        <v/>
      </c>
      <c r="D893" s="25"/>
      <c r="E893" s="22" t="str">
        <f t="shared" si="3"/>
        <v xml:space="preserve"> </v>
      </c>
    </row>
    <row r="894" spans="1:5" ht="12.3">
      <c r="A894" s="26"/>
      <c r="B894" s="23" t="str">
        <f>IF(ISBLANK(A894)," ",VLOOKUP(A894,'Product Database'!A:B,2,FALSE))</f>
        <v xml:space="preserve"> </v>
      </c>
      <c r="C894" s="24" t="str">
        <f>IF(ISBLANK(A894),"",SUMIF(Input!A:A,A894,Input!B:B))</f>
        <v/>
      </c>
      <c r="D894" s="25"/>
      <c r="E894" s="22" t="str">
        <f t="shared" si="3"/>
        <v xml:space="preserve"> </v>
      </c>
    </row>
    <row r="895" spans="1:5" ht="12.3">
      <c r="A895" s="26"/>
      <c r="B895" s="23" t="str">
        <f>IF(ISBLANK(A895)," ",VLOOKUP(A895,'Product Database'!A:B,2,FALSE))</f>
        <v xml:space="preserve"> </v>
      </c>
      <c r="C895" s="24" t="str">
        <f>IF(ISBLANK(A895),"",SUMIF(Input!A:A,A895,Input!B:B))</f>
        <v/>
      </c>
      <c r="D895" s="25"/>
      <c r="E895" s="22" t="str">
        <f t="shared" si="3"/>
        <v xml:space="preserve"> </v>
      </c>
    </row>
    <row r="896" spans="1:5" ht="12.3">
      <c r="A896" s="26"/>
      <c r="B896" s="23" t="str">
        <f>IF(ISBLANK(A896)," ",VLOOKUP(A896,'Product Database'!A:B,2,FALSE))</f>
        <v xml:space="preserve"> </v>
      </c>
      <c r="C896" s="24" t="str">
        <f>IF(ISBLANK(A896),"",SUMIF(Input!A:A,A896,Input!B:B))</f>
        <v/>
      </c>
      <c r="D896" s="25"/>
      <c r="E896" s="22" t="str">
        <f t="shared" si="3"/>
        <v xml:space="preserve"> </v>
      </c>
    </row>
    <row r="897" spans="1:5" ht="12.3">
      <c r="A897" s="26"/>
      <c r="B897" s="23" t="str">
        <f>IF(ISBLANK(A897)," ",VLOOKUP(A897,'Product Database'!A:B,2,FALSE))</f>
        <v xml:space="preserve"> </v>
      </c>
      <c r="C897" s="24" t="str">
        <f>IF(ISBLANK(A897),"",SUMIF(Input!A:A,A897,Input!B:B))</f>
        <v/>
      </c>
      <c r="D897" s="25"/>
      <c r="E897" s="22" t="str">
        <f t="shared" si="3"/>
        <v xml:space="preserve"> </v>
      </c>
    </row>
    <row r="898" spans="1:5" ht="12.3">
      <c r="A898" s="26"/>
      <c r="B898" s="23" t="str">
        <f>IF(ISBLANK(A898)," ",VLOOKUP(A898,'Product Database'!A:B,2,FALSE))</f>
        <v xml:space="preserve"> </v>
      </c>
      <c r="C898" s="24" t="str">
        <f>IF(ISBLANK(A898),"",SUMIF(Input!A:A,A898,Input!B:B))</f>
        <v/>
      </c>
      <c r="D898" s="25"/>
      <c r="E898" s="22" t="str">
        <f t="shared" si="3"/>
        <v xml:space="preserve"> </v>
      </c>
    </row>
    <row r="899" spans="1:5" ht="12.3">
      <c r="A899" s="26"/>
      <c r="B899" s="23" t="str">
        <f>IF(ISBLANK(A899)," ",VLOOKUP(A899,'Product Database'!A:B,2,FALSE))</f>
        <v xml:space="preserve"> </v>
      </c>
      <c r="C899" s="24" t="str">
        <f>IF(ISBLANK(A899),"",SUMIF(Input!A:A,A899,Input!B:B))</f>
        <v/>
      </c>
      <c r="D899" s="25"/>
      <c r="E899" s="22" t="str">
        <f t="shared" si="3"/>
        <v xml:space="preserve"> </v>
      </c>
    </row>
    <row r="900" spans="1:5" ht="12.3">
      <c r="A900" s="26"/>
      <c r="B900" s="23" t="str">
        <f>IF(ISBLANK(A900)," ",VLOOKUP(A900,'Product Database'!A:B,2,FALSE))</f>
        <v xml:space="preserve"> </v>
      </c>
      <c r="C900" s="24" t="str">
        <f>IF(ISBLANK(A900),"",SUMIF(Input!A:A,A900,Input!B:B))</f>
        <v/>
      </c>
      <c r="D900" s="25"/>
      <c r="E900" s="22" t="str">
        <f t="shared" si="3"/>
        <v xml:space="preserve"> </v>
      </c>
    </row>
    <row r="901" spans="1:5" ht="12.3">
      <c r="A901" s="26"/>
      <c r="B901" s="23" t="str">
        <f>IF(ISBLANK(A901)," ",VLOOKUP(A901,'Product Database'!A:B,2,FALSE))</f>
        <v xml:space="preserve"> </v>
      </c>
      <c r="C901" s="24" t="str">
        <f>IF(ISBLANK(A901),"",SUMIF(Input!A:A,A901,Input!B:B))</f>
        <v/>
      </c>
      <c r="D901" s="25"/>
      <c r="E901" s="22" t="str">
        <f t="shared" si="3"/>
        <v xml:space="preserve"> </v>
      </c>
    </row>
    <row r="902" spans="1:5" ht="12.3">
      <c r="A902" s="26"/>
      <c r="B902" s="23" t="str">
        <f>IF(ISBLANK(A902)," ",VLOOKUP(A902,'Product Database'!A:B,2,FALSE))</f>
        <v xml:space="preserve"> </v>
      </c>
      <c r="C902" s="24" t="str">
        <f>IF(ISBLANK(A902),"",SUMIF(Input!A:A,A902,Input!B:B))</f>
        <v/>
      </c>
      <c r="D902" s="25"/>
      <c r="E902" s="22" t="str">
        <f t="shared" si="3"/>
        <v xml:space="preserve"> </v>
      </c>
    </row>
    <row r="903" spans="1:5" ht="12.3">
      <c r="A903" s="26"/>
      <c r="B903" s="23" t="str">
        <f>IF(ISBLANK(A903)," ",VLOOKUP(A903,'Product Database'!A:B,2,FALSE))</f>
        <v xml:space="preserve"> </v>
      </c>
      <c r="C903" s="24" t="str">
        <f>IF(ISBLANK(A903),"",SUMIF(Input!A:A,A903,Input!B:B))</f>
        <v/>
      </c>
      <c r="D903" s="25"/>
      <c r="E903" s="22" t="str">
        <f t="shared" si="3"/>
        <v xml:space="preserve"> </v>
      </c>
    </row>
    <row r="904" spans="1:5" ht="12.3">
      <c r="A904" s="26"/>
      <c r="B904" s="23" t="str">
        <f>IF(ISBLANK(A904)," ",VLOOKUP(A904,'Product Database'!A:B,2,FALSE))</f>
        <v xml:space="preserve"> </v>
      </c>
      <c r="C904" s="24" t="str">
        <f>IF(ISBLANK(A904),"",SUMIF(Input!A:A,A904,Input!B:B))</f>
        <v/>
      </c>
      <c r="D904" s="25"/>
      <c r="E904" s="22" t="str">
        <f t="shared" si="3"/>
        <v xml:space="preserve"> </v>
      </c>
    </row>
    <row r="905" spans="1:5" ht="12.3">
      <c r="A905" s="26"/>
      <c r="B905" s="23" t="str">
        <f>IF(ISBLANK(A905)," ",VLOOKUP(A905,'Product Database'!A:B,2,FALSE))</f>
        <v xml:space="preserve"> </v>
      </c>
      <c r="C905" s="24" t="str">
        <f>IF(ISBLANK(A905),"",SUMIF(Input!A:A,A905,Input!B:B))</f>
        <v/>
      </c>
      <c r="D905" s="25"/>
      <c r="E905" s="22" t="str">
        <f t="shared" si="3"/>
        <v xml:space="preserve"> </v>
      </c>
    </row>
    <row r="906" spans="1:5" ht="12.3">
      <c r="A906" s="26"/>
      <c r="B906" s="23" t="str">
        <f>IF(ISBLANK(A906)," ",VLOOKUP(A906,'Product Database'!A:B,2,FALSE))</f>
        <v xml:space="preserve"> </v>
      </c>
      <c r="C906" s="24" t="str">
        <f>IF(ISBLANK(A906),"",SUMIF(Input!A:A,A906,Input!B:B))</f>
        <v/>
      </c>
      <c r="D906" s="25"/>
      <c r="E906" s="22" t="str">
        <f t="shared" si="3"/>
        <v xml:space="preserve"> </v>
      </c>
    </row>
    <row r="907" spans="1:5" ht="12.3">
      <c r="A907" s="26"/>
      <c r="B907" s="23" t="str">
        <f>IF(ISBLANK(A907)," ",VLOOKUP(A907,'Product Database'!A:B,2,FALSE))</f>
        <v xml:space="preserve"> </v>
      </c>
      <c r="C907" s="24" t="str">
        <f>IF(ISBLANK(A907),"",SUMIF(Input!A:A,A907,Input!B:B))</f>
        <v/>
      </c>
      <c r="D907" s="25"/>
      <c r="E907" s="22" t="str">
        <f t="shared" si="3"/>
        <v xml:space="preserve"> </v>
      </c>
    </row>
    <row r="908" spans="1:5" ht="12.3">
      <c r="A908" s="26"/>
      <c r="B908" s="23" t="str">
        <f>IF(ISBLANK(A908)," ",VLOOKUP(A908,'Product Database'!A:B,2,FALSE))</f>
        <v xml:space="preserve"> </v>
      </c>
      <c r="C908" s="24" t="str">
        <f>IF(ISBLANK(A908),"",SUMIF(Input!A:A,A908,Input!B:B))</f>
        <v/>
      </c>
      <c r="D908" s="25"/>
      <c r="E908" s="22" t="str">
        <f t="shared" si="3"/>
        <v xml:space="preserve"> </v>
      </c>
    </row>
    <row r="909" spans="1:5" ht="12.3">
      <c r="A909" s="26"/>
      <c r="B909" s="23" t="str">
        <f>IF(ISBLANK(A909)," ",VLOOKUP(A909,'Product Database'!A:B,2,FALSE))</f>
        <v xml:space="preserve"> </v>
      </c>
      <c r="C909" s="24" t="str">
        <f>IF(ISBLANK(A909),"",SUMIF(Input!A:A,A909,Input!B:B))</f>
        <v/>
      </c>
      <c r="D909" s="25"/>
      <c r="E909" s="22" t="str">
        <f t="shared" si="3"/>
        <v xml:space="preserve"> </v>
      </c>
    </row>
    <row r="910" spans="1:5" ht="12.3">
      <c r="A910" s="26"/>
      <c r="B910" s="23" t="str">
        <f>IF(ISBLANK(A910)," ",VLOOKUP(A910,'Product Database'!A:B,2,FALSE))</f>
        <v xml:space="preserve"> </v>
      </c>
      <c r="C910" s="24" t="str">
        <f>IF(ISBLANK(A910),"",SUMIF(Input!A:A,A910,Input!B:B))</f>
        <v/>
      </c>
      <c r="D910" s="25"/>
      <c r="E910" s="22" t="str">
        <f t="shared" si="3"/>
        <v xml:space="preserve"> </v>
      </c>
    </row>
    <row r="911" spans="1:5" ht="12.3">
      <c r="A911" s="26"/>
      <c r="B911" s="23" t="str">
        <f>IF(ISBLANK(A911)," ",VLOOKUP(A911,'Product Database'!A:B,2,FALSE))</f>
        <v xml:space="preserve"> </v>
      </c>
      <c r="C911" s="24" t="str">
        <f>IF(ISBLANK(A911),"",SUMIF(Input!A:A,A911,Input!B:B))</f>
        <v/>
      </c>
      <c r="D911" s="25"/>
      <c r="E911" s="22" t="str">
        <f t="shared" si="3"/>
        <v xml:space="preserve"> </v>
      </c>
    </row>
    <row r="912" spans="1:5" ht="12.3">
      <c r="A912" s="26"/>
      <c r="B912" s="23" t="str">
        <f>IF(ISBLANK(A912)," ",VLOOKUP(A912,'Product Database'!A:B,2,FALSE))</f>
        <v xml:space="preserve"> </v>
      </c>
      <c r="C912" s="24" t="str">
        <f>IF(ISBLANK(A912),"",SUMIF(Input!A:A,A912,Input!B:B))</f>
        <v/>
      </c>
      <c r="D912" s="25"/>
      <c r="E912" s="22" t="str">
        <f t="shared" si="3"/>
        <v xml:space="preserve"> </v>
      </c>
    </row>
    <row r="913" spans="1:5" ht="12.3">
      <c r="A913" s="26"/>
      <c r="B913" s="23" t="str">
        <f>IF(ISBLANK(A913)," ",VLOOKUP(A913,'Product Database'!A:B,2,FALSE))</f>
        <v xml:space="preserve"> </v>
      </c>
      <c r="C913" s="24" t="str">
        <f>IF(ISBLANK(A913),"",SUMIF(Input!A:A,A913,Input!B:B))</f>
        <v/>
      </c>
      <c r="D913" s="25"/>
      <c r="E913" s="22" t="str">
        <f t="shared" si="3"/>
        <v xml:space="preserve"> </v>
      </c>
    </row>
    <row r="914" spans="1:5" ht="12.3">
      <c r="A914" s="26"/>
      <c r="B914" s="23" t="str">
        <f>IF(ISBLANK(A914)," ",VLOOKUP(A914,'Product Database'!A:B,2,FALSE))</f>
        <v xml:space="preserve"> </v>
      </c>
      <c r="C914" s="24" t="str">
        <f>IF(ISBLANK(A914),"",SUMIF(Input!A:A,A914,Input!B:B))</f>
        <v/>
      </c>
      <c r="D914" s="25"/>
      <c r="E914" s="22" t="str">
        <f t="shared" si="3"/>
        <v xml:space="preserve"> </v>
      </c>
    </row>
    <row r="915" spans="1:5" ht="12.3">
      <c r="A915" s="26"/>
      <c r="B915" s="23" t="str">
        <f>IF(ISBLANK(A915)," ",VLOOKUP(A915,'Product Database'!A:B,2,FALSE))</f>
        <v xml:space="preserve"> </v>
      </c>
      <c r="C915" s="24" t="str">
        <f>IF(ISBLANK(A915),"",SUMIF(Input!A:A,A915,Input!B:B))</f>
        <v/>
      </c>
      <c r="D915" s="25"/>
      <c r="E915" s="22" t="str">
        <f t="shared" si="3"/>
        <v xml:space="preserve"> </v>
      </c>
    </row>
    <row r="916" spans="1:5" ht="12.3">
      <c r="A916" s="26"/>
      <c r="B916" s="23" t="str">
        <f>IF(ISBLANK(A916)," ",VLOOKUP(A916,'Product Database'!A:B,2,FALSE))</f>
        <v xml:space="preserve"> </v>
      </c>
      <c r="C916" s="24" t="str">
        <f>IF(ISBLANK(A916),"",SUMIF(Input!A:A,A916,Input!B:B))</f>
        <v/>
      </c>
      <c r="D916" s="25"/>
      <c r="E916" s="22" t="str">
        <f t="shared" si="3"/>
        <v xml:space="preserve"> </v>
      </c>
    </row>
    <row r="917" spans="1:5" ht="12.3">
      <c r="A917" s="26"/>
      <c r="B917" s="23" t="str">
        <f>IF(ISBLANK(A917)," ",VLOOKUP(A917,'Product Database'!A:B,2,FALSE))</f>
        <v xml:space="preserve"> </v>
      </c>
      <c r="C917" s="24" t="str">
        <f>IF(ISBLANK(A917),"",SUMIF(Input!A:A,A917,Input!B:B))</f>
        <v/>
      </c>
      <c r="D917" s="25"/>
      <c r="E917" s="22" t="str">
        <f t="shared" si="3"/>
        <v xml:space="preserve"> </v>
      </c>
    </row>
    <row r="918" spans="1:5" ht="12.3">
      <c r="A918" s="26"/>
      <c r="B918" s="23" t="str">
        <f>IF(ISBLANK(A918)," ",VLOOKUP(A918,'Product Database'!A:B,2,FALSE))</f>
        <v xml:space="preserve"> </v>
      </c>
      <c r="C918" s="24" t="str">
        <f>IF(ISBLANK(A918),"",SUMIF(Input!A:A,A918,Input!B:B))</f>
        <v/>
      </c>
      <c r="D918" s="25"/>
      <c r="E918" s="22" t="str">
        <f t="shared" si="3"/>
        <v xml:space="preserve"> </v>
      </c>
    </row>
    <row r="919" spans="1:5" ht="12.3">
      <c r="A919" s="26"/>
      <c r="B919" s="23" t="str">
        <f>IF(ISBLANK(A919)," ",VLOOKUP(A919,'Product Database'!A:B,2,FALSE))</f>
        <v xml:space="preserve"> </v>
      </c>
      <c r="C919" s="24" t="str">
        <f>IF(ISBLANK(A919),"",SUMIF(Input!A:A,A919,Input!B:B))</f>
        <v/>
      </c>
      <c r="D919" s="25"/>
      <c r="E919" s="22" t="str">
        <f t="shared" si="3"/>
        <v xml:space="preserve"> </v>
      </c>
    </row>
    <row r="920" spans="1:5" ht="12.3">
      <c r="A920" s="26"/>
      <c r="B920" s="23" t="str">
        <f>IF(ISBLANK(A920)," ",VLOOKUP(A920,'Product Database'!A:B,2,FALSE))</f>
        <v xml:space="preserve"> </v>
      </c>
      <c r="C920" s="24" t="str">
        <f>IF(ISBLANK(A920),"",SUMIF(Input!A:A,A920,Input!B:B))</f>
        <v/>
      </c>
      <c r="D920" s="25"/>
      <c r="E920" s="22" t="str">
        <f t="shared" si="3"/>
        <v xml:space="preserve"> </v>
      </c>
    </row>
    <row r="921" spans="1:5" ht="12.3">
      <c r="A921" s="26"/>
      <c r="B921" s="23" t="str">
        <f>IF(ISBLANK(A921)," ",VLOOKUP(A921,'Product Database'!A:B,2,FALSE))</f>
        <v xml:space="preserve"> </v>
      </c>
      <c r="C921" s="24" t="str">
        <f>IF(ISBLANK(A921),"",SUMIF(Input!A:A,A921,Input!B:B))</f>
        <v/>
      </c>
      <c r="D921" s="25"/>
      <c r="E921" s="22" t="str">
        <f t="shared" si="3"/>
        <v xml:space="preserve"> </v>
      </c>
    </row>
    <row r="922" spans="1:5" ht="12.3">
      <c r="A922" s="26"/>
      <c r="B922" s="23" t="str">
        <f>IF(ISBLANK(A922)," ",VLOOKUP(A922,'Product Database'!A:B,2,FALSE))</f>
        <v xml:space="preserve"> </v>
      </c>
      <c r="C922" s="24" t="str">
        <f>IF(ISBLANK(A922),"",SUMIF(Input!A:A,A922,Input!B:B))</f>
        <v/>
      </c>
      <c r="D922" s="25"/>
      <c r="E922" s="22" t="str">
        <f t="shared" si="3"/>
        <v xml:space="preserve"> </v>
      </c>
    </row>
    <row r="923" spans="1:5" ht="12.3">
      <c r="A923" s="26"/>
      <c r="B923" s="23" t="str">
        <f>IF(ISBLANK(A923)," ",VLOOKUP(A923,'Product Database'!A:B,2,FALSE))</f>
        <v xml:space="preserve"> </v>
      </c>
      <c r="C923" s="24" t="str">
        <f>IF(ISBLANK(A923),"",SUMIF(Input!A:A,A923,Input!B:B))</f>
        <v/>
      </c>
      <c r="D923" s="25"/>
      <c r="E923" s="22" t="str">
        <f t="shared" si="3"/>
        <v xml:space="preserve"> </v>
      </c>
    </row>
    <row r="924" spans="1:5" ht="12.3">
      <c r="A924" s="26"/>
      <c r="B924" s="23" t="str">
        <f>IF(ISBLANK(A924)," ",VLOOKUP(A924,'Product Database'!A:B,2,FALSE))</f>
        <v xml:space="preserve"> </v>
      </c>
      <c r="C924" s="24" t="str">
        <f>IF(ISBLANK(A924),"",SUMIF(Input!A:A,A924,Input!B:B))</f>
        <v/>
      </c>
      <c r="D924" s="25"/>
      <c r="E924" s="22" t="str">
        <f t="shared" si="3"/>
        <v xml:space="preserve"> </v>
      </c>
    </row>
    <row r="925" spans="1:5" ht="12.3">
      <c r="A925" s="26"/>
      <c r="B925" s="23" t="str">
        <f>IF(ISBLANK(A925)," ",VLOOKUP(A925,'Product Database'!A:B,2,FALSE))</f>
        <v xml:space="preserve"> </v>
      </c>
      <c r="C925" s="24" t="str">
        <f>IF(ISBLANK(A925),"",SUMIF(Input!A:A,A925,Input!B:B))</f>
        <v/>
      </c>
      <c r="D925" s="25"/>
      <c r="E925" s="22" t="str">
        <f t="shared" si="3"/>
        <v xml:space="preserve"> </v>
      </c>
    </row>
    <row r="926" spans="1:5" ht="12.3">
      <c r="A926" s="26"/>
      <c r="B926" s="23" t="str">
        <f>IF(ISBLANK(A926)," ",VLOOKUP(A926,'Product Database'!A:B,2,FALSE))</f>
        <v xml:space="preserve"> </v>
      </c>
      <c r="C926" s="24" t="str">
        <f>IF(ISBLANK(A926),"",SUMIF(Input!A:A,A926,Input!B:B))</f>
        <v/>
      </c>
      <c r="D926" s="25"/>
      <c r="E926" s="22" t="str">
        <f t="shared" si="3"/>
        <v xml:space="preserve"> </v>
      </c>
    </row>
    <row r="927" spans="1:5" ht="12.3">
      <c r="A927" s="26"/>
      <c r="B927" s="23" t="str">
        <f>IF(ISBLANK(A927)," ",VLOOKUP(A927,'Product Database'!A:B,2,FALSE))</f>
        <v xml:space="preserve"> </v>
      </c>
      <c r="C927" s="24" t="str">
        <f>IF(ISBLANK(A927),"",SUMIF(Input!A:A,A927,Input!B:B))</f>
        <v/>
      </c>
      <c r="D927" s="25"/>
      <c r="E927" s="22" t="str">
        <f t="shared" si="3"/>
        <v xml:space="preserve"> </v>
      </c>
    </row>
    <row r="928" spans="1:5" ht="12.3">
      <c r="A928" s="26"/>
      <c r="B928" s="23" t="str">
        <f>IF(ISBLANK(A928)," ",VLOOKUP(A928,'Product Database'!A:B,2,FALSE))</f>
        <v xml:space="preserve"> </v>
      </c>
      <c r="C928" s="24" t="str">
        <f>IF(ISBLANK(A928),"",SUMIF(Input!A:A,A928,Input!B:B))</f>
        <v/>
      </c>
      <c r="D928" s="25"/>
      <c r="E928" s="22" t="str">
        <f t="shared" si="3"/>
        <v xml:space="preserve"> </v>
      </c>
    </row>
    <row r="929" spans="1:5" ht="12.3">
      <c r="A929" s="26"/>
      <c r="B929" s="23" t="str">
        <f>IF(ISBLANK(A929)," ",VLOOKUP(A929,'Product Database'!A:B,2,FALSE))</f>
        <v xml:space="preserve"> </v>
      </c>
      <c r="C929" s="24" t="str">
        <f>IF(ISBLANK(A929),"",SUMIF(Input!A:A,A929,Input!B:B))</f>
        <v/>
      </c>
      <c r="D929" s="25"/>
      <c r="E929" s="22" t="str">
        <f t="shared" si="3"/>
        <v xml:space="preserve"> </v>
      </c>
    </row>
    <row r="930" spans="1:5" ht="12.3">
      <c r="A930" s="26"/>
      <c r="B930" s="23" t="str">
        <f>IF(ISBLANK(A930)," ",VLOOKUP(A930,'Product Database'!A:B,2,FALSE))</f>
        <v xml:space="preserve"> </v>
      </c>
      <c r="C930" s="24" t="str">
        <f>IF(ISBLANK(A930),"",SUMIF(Input!A:A,A930,Input!B:B))</f>
        <v/>
      </c>
      <c r="D930" s="25"/>
      <c r="E930" s="22" t="str">
        <f t="shared" si="3"/>
        <v xml:space="preserve"> </v>
      </c>
    </row>
    <row r="931" spans="1:5" ht="12.3">
      <c r="A931" s="26"/>
      <c r="B931" s="23" t="str">
        <f>IF(ISBLANK(A931)," ",VLOOKUP(A931,'Product Database'!A:B,2,FALSE))</f>
        <v xml:space="preserve"> </v>
      </c>
      <c r="C931" s="24" t="str">
        <f>IF(ISBLANK(A931),"",SUMIF(Input!A:A,A931,Input!B:B))</f>
        <v/>
      </c>
      <c r="D931" s="25"/>
      <c r="E931" s="22" t="str">
        <f t="shared" si="3"/>
        <v xml:space="preserve"> </v>
      </c>
    </row>
    <row r="932" spans="1:5" ht="12.3">
      <c r="A932" s="26"/>
      <c r="B932" s="23" t="str">
        <f>IF(ISBLANK(A932)," ",VLOOKUP(A932,'Product Database'!A:B,2,FALSE))</f>
        <v xml:space="preserve"> </v>
      </c>
      <c r="C932" s="24" t="str">
        <f>IF(ISBLANK(A932),"",SUMIF(Input!A:A,A932,Input!B:B))</f>
        <v/>
      </c>
      <c r="D932" s="25"/>
      <c r="E932" s="22" t="str">
        <f t="shared" si="3"/>
        <v xml:space="preserve"> </v>
      </c>
    </row>
    <row r="933" spans="1:5" ht="12.3">
      <c r="A933" s="26"/>
      <c r="B933" s="23" t="str">
        <f>IF(ISBLANK(A933)," ",VLOOKUP(A933,'Product Database'!A:B,2,FALSE))</f>
        <v xml:space="preserve"> </v>
      </c>
      <c r="C933" s="24" t="str">
        <f>IF(ISBLANK(A933),"",SUMIF(Input!A:A,A933,Input!B:B))</f>
        <v/>
      </c>
      <c r="D933" s="25"/>
      <c r="E933" s="22" t="str">
        <f t="shared" si="3"/>
        <v xml:space="preserve"> </v>
      </c>
    </row>
    <row r="934" spans="1:5" ht="12.3">
      <c r="A934" s="26"/>
      <c r="B934" s="23" t="str">
        <f>IF(ISBLANK(A934)," ",VLOOKUP(A934,'Product Database'!A:B,2,FALSE))</f>
        <v xml:space="preserve"> </v>
      </c>
      <c r="C934" s="24" t="str">
        <f>IF(ISBLANK(A934),"",SUMIF(Input!A:A,A934,Input!B:B))</f>
        <v/>
      </c>
      <c r="D934" s="25"/>
      <c r="E934" s="22" t="str">
        <f t="shared" si="3"/>
        <v xml:space="preserve"> </v>
      </c>
    </row>
    <row r="935" spans="1:5" ht="12.3">
      <c r="A935" s="26"/>
      <c r="B935" s="23" t="str">
        <f>IF(ISBLANK(A935)," ",VLOOKUP(A935,'Product Database'!A:B,2,FALSE))</f>
        <v xml:space="preserve"> </v>
      </c>
      <c r="C935" s="24" t="str">
        <f>IF(ISBLANK(A935),"",SUMIF(Input!A:A,A935,Input!B:B))</f>
        <v/>
      </c>
      <c r="D935" s="25"/>
      <c r="E935" s="22" t="str">
        <f t="shared" si="3"/>
        <v xml:space="preserve"> </v>
      </c>
    </row>
    <row r="936" spans="1:5" ht="12.3">
      <c r="A936" s="26"/>
      <c r="B936" s="23" t="str">
        <f>IF(ISBLANK(A936)," ",VLOOKUP(A936,'Product Database'!A:B,2,FALSE))</f>
        <v xml:space="preserve"> </v>
      </c>
      <c r="C936" s="24" t="str">
        <f>IF(ISBLANK(A936),"",SUMIF(Input!A:A,A936,Input!B:B))</f>
        <v/>
      </c>
      <c r="D936" s="25"/>
      <c r="E936" s="22" t="str">
        <f t="shared" si="3"/>
        <v xml:space="preserve"> </v>
      </c>
    </row>
    <row r="937" spans="1:5" ht="12.3">
      <c r="A937" s="26"/>
      <c r="B937" s="23" t="str">
        <f>IF(ISBLANK(A937)," ",VLOOKUP(A937,'Product Database'!A:B,2,FALSE))</f>
        <v xml:space="preserve"> </v>
      </c>
      <c r="C937" s="24" t="str">
        <f>IF(ISBLANK(A937),"",SUMIF(Input!A:A,A937,Input!B:B))</f>
        <v/>
      </c>
      <c r="D937" s="25"/>
      <c r="E937" s="22" t="str">
        <f t="shared" si="3"/>
        <v xml:space="preserve"> </v>
      </c>
    </row>
    <row r="938" spans="1:5" ht="12.3">
      <c r="A938" s="26"/>
      <c r="B938" s="23" t="str">
        <f>IF(ISBLANK(A938)," ",VLOOKUP(A938,'Product Database'!A:B,2,FALSE))</f>
        <v xml:space="preserve"> </v>
      </c>
      <c r="C938" s="24" t="str">
        <f>IF(ISBLANK(A938),"",SUMIF(Input!A:A,A938,Input!B:B))</f>
        <v/>
      </c>
      <c r="D938" s="25"/>
      <c r="E938" s="22" t="str">
        <f t="shared" si="3"/>
        <v xml:space="preserve"> </v>
      </c>
    </row>
    <row r="939" spans="1:5" ht="12.3">
      <c r="A939" s="26"/>
      <c r="B939" s="23" t="str">
        <f>IF(ISBLANK(A939)," ",VLOOKUP(A939,'Product Database'!A:B,2,FALSE))</f>
        <v xml:space="preserve"> </v>
      </c>
      <c r="C939" s="24" t="str">
        <f>IF(ISBLANK(A939),"",SUMIF(Input!A:A,A939,Input!B:B))</f>
        <v/>
      </c>
      <c r="D939" s="25"/>
      <c r="E939" s="22" t="str">
        <f t="shared" si="3"/>
        <v xml:space="preserve"> </v>
      </c>
    </row>
    <row r="940" spans="1:5" ht="12.3">
      <c r="A940" s="26"/>
      <c r="B940" s="23" t="str">
        <f>IF(ISBLANK(A940)," ",VLOOKUP(A940,'Product Database'!A:B,2,FALSE))</f>
        <v xml:space="preserve"> </v>
      </c>
      <c r="C940" s="24" t="str">
        <f>IF(ISBLANK(A940),"",SUMIF(Input!A:A,A940,Input!B:B))</f>
        <v/>
      </c>
      <c r="D940" s="25"/>
      <c r="E940" s="22" t="str">
        <f t="shared" si="3"/>
        <v xml:space="preserve"> </v>
      </c>
    </row>
    <row r="941" spans="1:5" ht="12.3">
      <c r="A941" s="26"/>
      <c r="B941" s="23" t="str">
        <f>IF(ISBLANK(A941)," ",VLOOKUP(A941,'Product Database'!A:B,2,FALSE))</f>
        <v xml:space="preserve"> </v>
      </c>
      <c r="C941" s="24" t="str">
        <f>IF(ISBLANK(A941),"",SUMIF(Input!A:A,A941,Input!B:B))</f>
        <v/>
      </c>
      <c r="D941" s="25"/>
      <c r="E941" s="22" t="str">
        <f t="shared" si="3"/>
        <v xml:space="preserve"> </v>
      </c>
    </row>
    <row r="942" spans="1:5" ht="12.3">
      <c r="A942" s="26"/>
      <c r="B942" s="23" t="str">
        <f>IF(ISBLANK(A942)," ",VLOOKUP(A942,'Product Database'!A:B,2,FALSE))</f>
        <v xml:space="preserve"> </v>
      </c>
      <c r="C942" s="24" t="str">
        <f>IF(ISBLANK(A942),"",SUMIF(Input!A:A,A942,Input!B:B))</f>
        <v/>
      </c>
      <c r="D942" s="25"/>
      <c r="E942" s="22" t="str">
        <f t="shared" si="3"/>
        <v xml:space="preserve"> </v>
      </c>
    </row>
    <row r="943" spans="1:5" ht="12.3">
      <c r="A943" s="26"/>
      <c r="B943" s="23" t="str">
        <f>IF(ISBLANK(A943)," ",VLOOKUP(A943,'Product Database'!A:B,2,FALSE))</f>
        <v xml:space="preserve"> </v>
      </c>
      <c r="C943" s="24" t="str">
        <f>IF(ISBLANK(A943),"",SUMIF(Input!A:A,A943,Input!B:B))</f>
        <v/>
      </c>
      <c r="D943" s="25"/>
      <c r="E943" s="22" t="str">
        <f t="shared" si="3"/>
        <v xml:space="preserve"> </v>
      </c>
    </row>
    <row r="944" spans="1:5" ht="12.3">
      <c r="A944" s="26"/>
      <c r="B944" s="23" t="str">
        <f>IF(ISBLANK(A944)," ",VLOOKUP(A944,'Product Database'!A:B,2,FALSE))</f>
        <v xml:space="preserve"> </v>
      </c>
      <c r="C944" s="24" t="str">
        <f>IF(ISBLANK(A944),"",SUMIF(Input!A:A,A944,Input!B:B))</f>
        <v/>
      </c>
      <c r="D944" s="25"/>
      <c r="E944" s="22" t="str">
        <f t="shared" si="3"/>
        <v xml:space="preserve"> </v>
      </c>
    </row>
    <row r="945" spans="1:5" ht="12.3">
      <c r="A945" s="26"/>
      <c r="B945" s="23" t="str">
        <f>IF(ISBLANK(A945)," ",VLOOKUP(A945,'Product Database'!A:B,2,FALSE))</f>
        <v xml:space="preserve"> </v>
      </c>
      <c r="C945" s="24" t="str">
        <f>IF(ISBLANK(A945),"",SUMIF(Input!A:A,A945,Input!B:B))</f>
        <v/>
      </c>
      <c r="D945" s="25"/>
      <c r="E945" s="22" t="str">
        <f t="shared" si="3"/>
        <v xml:space="preserve"> </v>
      </c>
    </row>
    <row r="946" spans="1:5" ht="12.3">
      <c r="A946" s="26"/>
      <c r="B946" s="23" t="str">
        <f>IF(ISBLANK(A946)," ",VLOOKUP(A946,'Product Database'!A:B,2,FALSE))</f>
        <v xml:space="preserve"> </v>
      </c>
      <c r="C946" s="24" t="str">
        <f>IF(ISBLANK(A946),"",SUMIF(Input!A:A,A946,Input!B:B))</f>
        <v/>
      </c>
      <c r="D946" s="25"/>
      <c r="E946" s="22" t="str">
        <f t="shared" si="3"/>
        <v xml:space="preserve"> </v>
      </c>
    </row>
    <row r="947" spans="1:5" ht="12.3">
      <c r="A947" s="26"/>
      <c r="B947" s="23" t="str">
        <f>IF(ISBLANK(A947)," ",VLOOKUP(A947,'Product Database'!A:B,2,FALSE))</f>
        <v xml:space="preserve"> </v>
      </c>
      <c r="C947" s="24" t="str">
        <f>IF(ISBLANK(A947),"",SUMIF(Input!A:A,A947,Input!B:B))</f>
        <v/>
      </c>
      <c r="D947" s="25"/>
      <c r="E947" s="22" t="str">
        <f t="shared" si="3"/>
        <v xml:space="preserve"> </v>
      </c>
    </row>
    <row r="948" spans="1:5" ht="12.3">
      <c r="A948" s="26"/>
      <c r="B948" s="23" t="str">
        <f>IF(ISBLANK(A948)," ",VLOOKUP(A948,'Product Database'!A:B,2,FALSE))</f>
        <v xml:space="preserve"> </v>
      </c>
      <c r="C948" s="24" t="str">
        <f>IF(ISBLANK(A948),"",SUMIF(Input!A:A,A948,Input!B:B))</f>
        <v/>
      </c>
      <c r="D948" s="25"/>
      <c r="E948" s="22" t="str">
        <f t="shared" si="3"/>
        <v xml:space="preserve"> </v>
      </c>
    </row>
    <row r="949" spans="1:5" ht="12.3">
      <c r="A949" s="26"/>
      <c r="B949" s="23" t="str">
        <f>IF(ISBLANK(A949)," ",VLOOKUP(A949,'Product Database'!A:B,2,FALSE))</f>
        <v xml:space="preserve"> </v>
      </c>
      <c r="C949" s="24" t="str">
        <f>IF(ISBLANK(A949),"",SUMIF(Input!A:A,A949,Input!B:B))</f>
        <v/>
      </c>
      <c r="D949" s="25"/>
      <c r="E949" s="22" t="str">
        <f t="shared" si="3"/>
        <v xml:space="preserve"> </v>
      </c>
    </row>
    <row r="950" spans="1:5" ht="12.3">
      <c r="A950" s="26"/>
      <c r="B950" s="23" t="str">
        <f>IF(ISBLANK(A950)," ",VLOOKUP(A950,'Product Database'!A:B,2,FALSE))</f>
        <v xml:space="preserve"> </v>
      </c>
      <c r="C950" s="24" t="str">
        <f>IF(ISBLANK(A950),"",SUMIF(Input!A:A,A950,Input!B:B))</f>
        <v/>
      </c>
      <c r="D950" s="25"/>
      <c r="E950" s="22" t="str">
        <f t="shared" si="3"/>
        <v xml:space="preserve"> </v>
      </c>
    </row>
    <row r="951" spans="1:5" ht="12.3">
      <c r="A951" s="26"/>
      <c r="B951" s="23" t="str">
        <f>IF(ISBLANK(A951)," ",VLOOKUP(A951,'Product Database'!A:B,2,FALSE))</f>
        <v xml:space="preserve"> </v>
      </c>
      <c r="C951" s="24" t="str">
        <f>IF(ISBLANK(A951),"",SUMIF(Input!A:A,A951,Input!B:B))</f>
        <v/>
      </c>
      <c r="D951" s="25"/>
      <c r="E951" s="22" t="str">
        <f t="shared" si="3"/>
        <v xml:space="preserve"> </v>
      </c>
    </row>
    <row r="952" spans="1:5" ht="12.3">
      <c r="A952" s="26"/>
      <c r="B952" s="23" t="str">
        <f>IF(ISBLANK(A952)," ",VLOOKUP(A952,'Product Database'!A:B,2,FALSE))</f>
        <v xml:space="preserve"> </v>
      </c>
      <c r="C952" s="24" t="str">
        <f>IF(ISBLANK(A952),"",SUMIF(Input!A:A,A952,Input!B:B))</f>
        <v/>
      </c>
      <c r="D952" s="25"/>
      <c r="E952" s="22" t="str">
        <f t="shared" si="3"/>
        <v xml:space="preserve"> </v>
      </c>
    </row>
    <row r="953" spans="1:5" ht="12.3">
      <c r="A953" s="26"/>
      <c r="B953" s="23" t="str">
        <f>IF(ISBLANK(A953)," ",VLOOKUP(A953,'Product Database'!A:B,2,FALSE))</f>
        <v xml:space="preserve"> </v>
      </c>
      <c r="C953" s="24" t="str">
        <f>IF(ISBLANK(A953),"",SUMIF(Input!A:A,A953,Input!B:B))</f>
        <v/>
      </c>
      <c r="D953" s="25"/>
      <c r="E953" s="22" t="str">
        <f t="shared" si="3"/>
        <v xml:space="preserve"> </v>
      </c>
    </row>
    <row r="954" spans="1:5" ht="12.3">
      <c r="A954" s="26"/>
      <c r="B954" s="23" t="str">
        <f>IF(ISBLANK(A954)," ",VLOOKUP(A954,'Product Database'!A:B,2,FALSE))</f>
        <v xml:space="preserve"> </v>
      </c>
      <c r="C954" s="24" t="str">
        <f>IF(ISBLANK(A954),"",SUMIF(Input!A:A,A954,Input!B:B))</f>
        <v/>
      </c>
      <c r="D954" s="25"/>
      <c r="E954" s="22" t="str">
        <f t="shared" si="3"/>
        <v xml:space="preserve"> </v>
      </c>
    </row>
    <row r="955" spans="1:5" ht="12.3">
      <c r="A955" s="26"/>
      <c r="B955" s="23" t="str">
        <f>IF(ISBLANK(A955)," ",VLOOKUP(A955,'Product Database'!A:B,2,FALSE))</f>
        <v xml:space="preserve"> </v>
      </c>
      <c r="C955" s="24" t="str">
        <f>IF(ISBLANK(A955),"",SUMIF(Input!A:A,A955,Input!B:B))</f>
        <v/>
      </c>
      <c r="D955" s="25"/>
      <c r="E955" s="22" t="str">
        <f t="shared" si="3"/>
        <v xml:space="preserve"> </v>
      </c>
    </row>
    <row r="956" spans="1:5" ht="12.3">
      <c r="A956" s="26"/>
      <c r="B956" s="23" t="str">
        <f>IF(ISBLANK(A956)," ",VLOOKUP(A956,'Product Database'!A:B,2,FALSE))</f>
        <v xml:space="preserve"> </v>
      </c>
      <c r="C956" s="24" t="str">
        <f>IF(ISBLANK(A956),"",SUMIF(Input!A:A,A956,Input!B:B))</f>
        <v/>
      </c>
      <c r="D956" s="25"/>
      <c r="E956" s="22" t="str">
        <f t="shared" si="3"/>
        <v xml:space="preserve"> </v>
      </c>
    </row>
    <row r="957" spans="1:5" ht="12.3">
      <c r="A957" s="26"/>
      <c r="B957" s="23" t="str">
        <f>IF(ISBLANK(A957)," ",VLOOKUP(A957,'Product Database'!A:B,2,FALSE))</f>
        <v xml:space="preserve"> </v>
      </c>
      <c r="C957" s="24" t="str">
        <f>IF(ISBLANK(A957),"",SUMIF(Input!A:A,A957,Input!B:B))</f>
        <v/>
      </c>
      <c r="D957" s="25"/>
      <c r="E957" s="22" t="str">
        <f t="shared" si="3"/>
        <v xml:space="preserve"> </v>
      </c>
    </row>
    <row r="958" spans="1:5" ht="12.3">
      <c r="A958" s="26"/>
      <c r="B958" s="23" t="str">
        <f>IF(ISBLANK(A958)," ",VLOOKUP(A958,'Product Database'!A:B,2,FALSE))</f>
        <v xml:space="preserve"> </v>
      </c>
      <c r="C958" s="24" t="str">
        <f>IF(ISBLANK(A958),"",SUMIF(Input!A:A,A958,Input!B:B))</f>
        <v/>
      </c>
      <c r="D958" s="25"/>
      <c r="E958" s="22" t="str">
        <f t="shared" si="3"/>
        <v xml:space="preserve"> </v>
      </c>
    </row>
    <row r="959" spans="1:5" ht="12.3">
      <c r="A959" s="26"/>
      <c r="B959" s="23" t="str">
        <f>IF(ISBLANK(A959)," ",VLOOKUP(A959,'Product Database'!A:B,2,FALSE))</f>
        <v xml:space="preserve"> </v>
      </c>
      <c r="C959" s="24" t="str">
        <f>IF(ISBLANK(A959),"",SUMIF(Input!A:A,A959,Input!B:B))</f>
        <v/>
      </c>
      <c r="D959" s="25"/>
      <c r="E959" s="22" t="str">
        <f t="shared" si="3"/>
        <v xml:space="preserve"> </v>
      </c>
    </row>
    <row r="960" spans="1:5" ht="12.3">
      <c r="A960" s="26"/>
      <c r="B960" s="23" t="str">
        <f>IF(ISBLANK(A960)," ",VLOOKUP(A960,'Product Database'!A:B,2,FALSE))</f>
        <v xml:space="preserve"> </v>
      </c>
      <c r="C960" s="24" t="str">
        <f>IF(ISBLANK(A960),"",SUMIF(Input!A:A,A960,Input!B:B))</f>
        <v/>
      </c>
      <c r="D960" s="25"/>
      <c r="E960" s="22" t="str">
        <f t="shared" si="3"/>
        <v xml:space="preserve"> </v>
      </c>
    </row>
    <row r="961" spans="1:5" ht="12.3">
      <c r="A961" s="26"/>
      <c r="B961" s="23" t="str">
        <f>IF(ISBLANK(A961)," ",VLOOKUP(A961,'Product Database'!A:B,2,FALSE))</f>
        <v xml:space="preserve"> </v>
      </c>
      <c r="C961" s="24" t="str">
        <f>IF(ISBLANK(A961),"",SUMIF(Input!A:A,A961,Input!B:B))</f>
        <v/>
      </c>
      <c r="D961" s="25"/>
      <c r="E961" s="22" t="str">
        <f t="shared" si="3"/>
        <v xml:space="preserve"> </v>
      </c>
    </row>
    <row r="962" spans="1:5" ht="12.3">
      <c r="A962" s="26"/>
      <c r="B962" s="23" t="str">
        <f>IF(ISBLANK(A962)," ",VLOOKUP(A962,'Product Database'!A:B,2,FALSE))</f>
        <v xml:space="preserve"> </v>
      </c>
      <c r="C962" s="24" t="str">
        <f>IF(ISBLANK(A962),"",SUMIF(Input!A:A,A962,Input!B:B))</f>
        <v/>
      </c>
      <c r="D962" s="25"/>
      <c r="E962" s="22" t="str">
        <f t="shared" si="3"/>
        <v xml:space="preserve"> </v>
      </c>
    </row>
    <row r="963" spans="1:5" ht="12.3">
      <c r="A963" s="26"/>
      <c r="B963" s="23" t="str">
        <f>IF(ISBLANK(A963)," ",VLOOKUP(A963,'Product Database'!A:B,2,FALSE))</f>
        <v xml:space="preserve"> </v>
      </c>
      <c r="C963" s="24" t="str">
        <f>IF(ISBLANK(A963),"",SUMIF(Input!A:A,A963,Input!B:B))</f>
        <v/>
      </c>
      <c r="D963" s="25"/>
      <c r="E963" s="22" t="str">
        <f t="shared" si="3"/>
        <v xml:space="preserve"> </v>
      </c>
    </row>
    <row r="964" spans="1:5" ht="12.3">
      <c r="A964" s="26"/>
      <c r="B964" s="23" t="str">
        <f>IF(ISBLANK(A964)," ",VLOOKUP(A964,'Product Database'!A:B,2,FALSE))</f>
        <v xml:space="preserve"> </v>
      </c>
      <c r="C964" s="24" t="str">
        <f>IF(ISBLANK(A964),"",SUMIF(Input!A:A,A964,Input!B:B))</f>
        <v/>
      </c>
      <c r="D964" s="25"/>
      <c r="E964" s="22" t="str">
        <f t="shared" si="3"/>
        <v xml:space="preserve"> </v>
      </c>
    </row>
    <row r="965" spans="1:5" ht="12.3">
      <c r="A965" s="26"/>
      <c r="B965" s="23" t="str">
        <f>IF(ISBLANK(A965)," ",VLOOKUP(A965,'Product Database'!A:B,2,FALSE))</f>
        <v xml:space="preserve"> </v>
      </c>
      <c r="C965" s="24" t="str">
        <f>IF(ISBLANK(A965),"",SUMIF(Input!A:A,A965,Input!B:B))</f>
        <v/>
      </c>
      <c r="D965" s="25"/>
      <c r="E965" s="22" t="str">
        <f t="shared" si="3"/>
        <v xml:space="preserve"> </v>
      </c>
    </row>
    <row r="966" spans="1:5" ht="12.3">
      <c r="A966" s="26"/>
      <c r="B966" s="23" t="str">
        <f>IF(ISBLANK(A966)," ",VLOOKUP(A966,'Product Database'!A:B,2,FALSE))</f>
        <v xml:space="preserve"> </v>
      </c>
      <c r="C966" s="24" t="str">
        <f>IF(ISBLANK(A966),"",SUMIF(Input!A:A,A966,Input!B:B))</f>
        <v/>
      </c>
      <c r="D966" s="25"/>
      <c r="E966" s="22" t="str">
        <f t="shared" si="3"/>
        <v xml:space="preserve"> </v>
      </c>
    </row>
    <row r="967" spans="1:5" ht="12.3">
      <c r="A967" s="26"/>
      <c r="B967" s="23" t="str">
        <f>IF(ISBLANK(A967)," ",VLOOKUP(A967,'Product Database'!A:B,2,FALSE))</f>
        <v xml:space="preserve"> </v>
      </c>
      <c r="C967" s="24" t="str">
        <f>IF(ISBLANK(A967),"",SUMIF(Input!A:A,A967,Input!B:B))</f>
        <v/>
      </c>
      <c r="D967" s="25"/>
      <c r="E967" s="22" t="str">
        <f t="shared" si="3"/>
        <v xml:space="preserve"> </v>
      </c>
    </row>
    <row r="968" spans="1:5" ht="12.3">
      <c r="A968" s="26"/>
      <c r="B968" s="23" t="str">
        <f>IF(ISBLANK(A968)," ",VLOOKUP(A968,'Product Database'!A:B,2,FALSE))</f>
        <v xml:space="preserve"> </v>
      </c>
      <c r="C968" s="24" t="str">
        <f>IF(ISBLANK(A968),"",SUMIF(Input!A:A,A968,Input!B:B))</f>
        <v/>
      </c>
      <c r="D968" s="25"/>
      <c r="E968" s="22" t="str">
        <f t="shared" si="3"/>
        <v xml:space="preserve"> </v>
      </c>
    </row>
    <row r="969" spans="1:5" ht="12.3">
      <c r="A969" s="26"/>
      <c r="B969" s="23" t="str">
        <f>IF(ISBLANK(A969)," ",VLOOKUP(A969,'Product Database'!A:B,2,FALSE))</f>
        <v xml:space="preserve"> </v>
      </c>
      <c r="C969" s="24" t="str">
        <f>IF(ISBLANK(A969),"",SUMIF(Input!A:A,A969,Input!B:B))</f>
        <v/>
      </c>
      <c r="D969" s="25"/>
      <c r="E969" s="22" t="str">
        <f t="shared" si="3"/>
        <v xml:space="preserve"> </v>
      </c>
    </row>
    <row r="970" spans="1:5" ht="12.3">
      <c r="A970" s="26"/>
      <c r="B970" s="23" t="str">
        <f>IF(ISBLANK(A970)," ",VLOOKUP(A970,'Product Database'!A:B,2,FALSE))</f>
        <v xml:space="preserve"> </v>
      </c>
      <c r="C970" s="24" t="str">
        <f>IF(ISBLANK(A970),"",SUMIF(Input!A:A,A970,Input!B:B))</f>
        <v/>
      </c>
      <c r="D970" s="25"/>
      <c r="E970" s="22" t="str">
        <f t="shared" si="3"/>
        <v xml:space="preserve"> </v>
      </c>
    </row>
    <row r="971" spans="1:5" ht="12.3">
      <c r="A971" s="26"/>
      <c r="B971" s="23" t="str">
        <f>IF(ISBLANK(A971)," ",VLOOKUP(A971,'Product Database'!A:B,2,FALSE))</f>
        <v xml:space="preserve"> </v>
      </c>
      <c r="C971" s="24" t="str">
        <f>IF(ISBLANK(A971),"",SUMIF(Input!A:A,A971,Input!B:B))</f>
        <v/>
      </c>
      <c r="D971" s="25"/>
      <c r="E971" s="22" t="str">
        <f t="shared" si="3"/>
        <v xml:space="preserve"> </v>
      </c>
    </row>
    <row r="972" spans="1:5" ht="12.3">
      <c r="A972" s="26"/>
      <c r="B972" s="23" t="str">
        <f>IF(ISBLANK(A972)," ",VLOOKUP(A972,'Product Database'!A:B,2,FALSE))</f>
        <v xml:space="preserve"> </v>
      </c>
      <c r="C972" s="24" t="str">
        <f>IF(ISBLANK(A972),"",SUMIF(Input!A:A,A972,Input!B:B))</f>
        <v/>
      </c>
      <c r="D972" s="25"/>
      <c r="E972" s="22" t="str">
        <f t="shared" si="3"/>
        <v xml:space="preserve"> </v>
      </c>
    </row>
    <row r="973" spans="1:5" ht="12.3">
      <c r="A973" s="26"/>
      <c r="B973" s="23" t="str">
        <f>IF(ISBLANK(A973)," ",VLOOKUP(A973,'Product Database'!A:B,2,FALSE))</f>
        <v xml:space="preserve"> </v>
      </c>
      <c r="C973" s="24" t="str">
        <f>IF(ISBLANK(A973),"",SUMIF(Input!A:A,A973,Input!B:B))</f>
        <v/>
      </c>
      <c r="D973" s="25"/>
      <c r="E973" s="22" t="str">
        <f t="shared" si="3"/>
        <v xml:space="preserve"> </v>
      </c>
    </row>
    <row r="974" spans="1:5" ht="12.3">
      <c r="A974" s="26"/>
      <c r="B974" s="23" t="str">
        <f>IF(ISBLANK(A974)," ",VLOOKUP(A974,'Product Database'!A:B,2,FALSE))</f>
        <v xml:space="preserve"> </v>
      </c>
      <c r="C974" s="24" t="str">
        <f>IF(ISBLANK(A974),"",SUMIF(Input!A:A,A974,Input!B:B))</f>
        <v/>
      </c>
      <c r="D974" s="25"/>
      <c r="E974" s="22" t="str">
        <f t="shared" si="3"/>
        <v xml:space="preserve"> </v>
      </c>
    </row>
    <row r="975" spans="1:5" ht="12.3">
      <c r="A975" s="26"/>
      <c r="B975" s="23" t="str">
        <f>IF(ISBLANK(A975)," ",VLOOKUP(A975,'Product Database'!A:B,2,FALSE))</f>
        <v xml:space="preserve"> </v>
      </c>
      <c r="C975" s="24" t="str">
        <f>IF(ISBLANK(A975),"",SUMIF(Input!A:A,A975,Input!B:B))</f>
        <v/>
      </c>
      <c r="D975" s="25"/>
      <c r="E975" s="22" t="str">
        <f t="shared" si="3"/>
        <v xml:space="preserve"> </v>
      </c>
    </row>
    <row r="976" spans="1:5" ht="12.3">
      <c r="A976" s="26"/>
      <c r="B976" s="23" t="str">
        <f>IF(ISBLANK(A976)," ",VLOOKUP(A976,'Product Database'!A:B,2,FALSE))</f>
        <v xml:space="preserve"> </v>
      </c>
      <c r="C976" s="24" t="str">
        <f>IF(ISBLANK(A976),"",SUMIF(Input!A:A,A976,Input!B:B))</f>
        <v/>
      </c>
      <c r="D976" s="25"/>
      <c r="E976" s="22" t="str">
        <f t="shared" si="3"/>
        <v xml:space="preserve"> </v>
      </c>
    </row>
    <row r="977" spans="1:5" ht="12.3">
      <c r="A977" s="26"/>
      <c r="B977" s="23" t="str">
        <f>IF(ISBLANK(A977)," ",VLOOKUP(A977,'Product Database'!A:B,2,FALSE))</f>
        <v xml:space="preserve"> </v>
      </c>
      <c r="C977" s="24" t="str">
        <f>IF(ISBLANK(A977),"",SUMIF(Input!A:A,A977,Input!B:B))</f>
        <v/>
      </c>
      <c r="D977" s="25"/>
      <c r="E977" s="22" t="str">
        <f t="shared" si="3"/>
        <v xml:space="preserve"> </v>
      </c>
    </row>
    <row r="978" spans="1:5" ht="12.3">
      <c r="A978" s="26"/>
      <c r="B978" s="23" t="str">
        <f>IF(ISBLANK(A978)," ",VLOOKUP(A978,'Product Database'!A:B,2,FALSE))</f>
        <v xml:space="preserve"> </v>
      </c>
      <c r="C978" s="24" t="str">
        <f>IF(ISBLANK(A978),"",SUMIF(Input!A:A,A978,Input!B:B))</f>
        <v/>
      </c>
      <c r="D978" s="25"/>
      <c r="E978" s="22" t="str">
        <f t="shared" si="3"/>
        <v xml:space="preserve"> </v>
      </c>
    </row>
    <row r="979" spans="1:5" ht="12.3">
      <c r="A979" s="26"/>
      <c r="B979" s="23" t="str">
        <f>IF(ISBLANK(A979)," ",VLOOKUP(A979,'Product Database'!A:B,2,FALSE))</f>
        <v xml:space="preserve"> </v>
      </c>
      <c r="C979" s="24" t="str">
        <f>IF(ISBLANK(A979),"",SUMIF(Input!A:A,A979,Input!B:B))</f>
        <v/>
      </c>
      <c r="D979" s="25"/>
      <c r="E979" s="22" t="str">
        <f t="shared" si="3"/>
        <v xml:space="preserve"> </v>
      </c>
    </row>
    <row r="980" spans="1:5" ht="12.3">
      <c r="A980" s="26"/>
      <c r="B980" s="23" t="str">
        <f>IF(ISBLANK(A980)," ",VLOOKUP(A980,'Product Database'!A:B,2,FALSE))</f>
        <v xml:space="preserve"> </v>
      </c>
      <c r="C980" s="24" t="str">
        <f>IF(ISBLANK(A980),"",SUMIF(Input!A:A,A980,Input!B:B))</f>
        <v/>
      </c>
      <c r="D980" s="25"/>
      <c r="E980" s="22" t="str">
        <f t="shared" si="3"/>
        <v xml:space="preserve"> </v>
      </c>
    </row>
    <row r="981" spans="1:5" ht="12.3">
      <c r="A981" s="26"/>
      <c r="B981" s="23" t="str">
        <f>IF(ISBLANK(A981)," ",VLOOKUP(A981,'Product Database'!A:B,2,FALSE))</f>
        <v xml:space="preserve"> </v>
      </c>
      <c r="C981" s="24" t="str">
        <f>IF(ISBLANK(A981),"",SUMIF(Input!A:A,A981,Input!B:B))</f>
        <v/>
      </c>
      <c r="D981" s="25"/>
      <c r="E981" s="22" t="str">
        <f t="shared" si="3"/>
        <v xml:space="preserve"> </v>
      </c>
    </row>
    <row r="982" spans="1:5" ht="12.3">
      <c r="A982" s="26"/>
      <c r="B982" s="23" t="str">
        <f>IF(ISBLANK(A982)," ",VLOOKUP(A982,'Product Database'!A:B,2,FALSE))</f>
        <v xml:space="preserve"> </v>
      </c>
      <c r="C982" s="24" t="str">
        <f>IF(ISBLANK(A982),"",SUMIF(Input!A:A,A982,Input!B:B))</f>
        <v/>
      </c>
      <c r="D982" s="25"/>
      <c r="E982" s="22" t="str">
        <f t="shared" si="3"/>
        <v xml:space="preserve"> </v>
      </c>
    </row>
    <row r="983" spans="1:5" ht="12.3">
      <c r="A983" s="26"/>
      <c r="B983" s="23" t="str">
        <f>IF(ISBLANK(A983)," ",VLOOKUP(A983,'Product Database'!A:B,2,FALSE))</f>
        <v xml:space="preserve"> </v>
      </c>
      <c r="C983" s="24" t="str">
        <f>IF(ISBLANK(A983),"",SUMIF(Input!A:A,A983,Input!B:B))</f>
        <v/>
      </c>
      <c r="D983" s="25"/>
      <c r="E983" s="22" t="str">
        <f t="shared" si="3"/>
        <v xml:space="preserve"> </v>
      </c>
    </row>
    <row r="984" spans="1:5" ht="12.3">
      <c r="A984" s="26"/>
      <c r="B984" s="23" t="str">
        <f>IF(ISBLANK(A984)," ",VLOOKUP(A984,'Product Database'!A:B,2,FALSE))</f>
        <v xml:space="preserve"> </v>
      </c>
      <c r="C984" s="24" t="str">
        <f>IF(ISBLANK(A984),"",SUMIF(Input!A:A,A984,Input!B:B))</f>
        <v/>
      </c>
      <c r="D984" s="25"/>
      <c r="E984" s="22" t="str">
        <f t="shared" si="3"/>
        <v xml:space="preserve"> </v>
      </c>
    </row>
    <row r="985" spans="1:5" ht="12.3">
      <c r="A985" s="26"/>
      <c r="B985" s="23" t="str">
        <f>IF(ISBLANK(A985)," ",VLOOKUP(A985,'Product Database'!A:B,2,FALSE))</f>
        <v xml:space="preserve"> </v>
      </c>
      <c r="C985" s="24" t="str">
        <f>IF(ISBLANK(A985),"",SUMIF(Input!A:A,A985,Input!B:B))</f>
        <v/>
      </c>
      <c r="D985" s="25"/>
      <c r="E985" s="22" t="str">
        <f t="shared" si="3"/>
        <v xml:space="preserve"> </v>
      </c>
    </row>
    <row r="986" spans="1:5" ht="12.3">
      <c r="A986" s="26"/>
      <c r="B986" s="23" t="str">
        <f>IF(ISBLANK(A986)," ",VLOOKUP(A986,'Product Database'!A:B,2,FALSE))</f>
        <v xml:space="preserve"> </v>
      </c>
      <c r="C986" s="24" t="str">
        <f>IF(ISBLANK(A986),"",SUMIF(Input!A:A,A986,Input!B:B))</f>
        <v/>
      </c>
      <c r="D986" s="25"/>
      <c r="E986" s="22" t="str">
        <f t="shared" si="3"/>
        <v xml:space="preserve"> </v>
      </c>
    </row>
    <row r="987" spans="1:5" ht="12.3">
      <c r="A987" s="26"/>
      <c r="B987" s="23" t="str">
        <f>IF(ISBLANK(A987)," ",VLOOKUP(A987,'Product Database'!A:B,2,FALSE))</f>
        <v xml:space="preserve"> </v>
      </c>
      <c r="C987" s="24" t="str">
        <f>IF(ISBLANK(A987),"",SUMIF(Input!A:A,A987,Input!B:B))</f>
        <v/>
      </c>
      <c r="D987" s="25"/>
      <c r="E987" s="22" t="str">
        <f t="shared" si="3"/>
        <v xml:space="preserve"> </v>
      </c>
    </row>
    <row r="988" spans="1:5" ht="12.3">
      <c r="A988" s="26"/>
      <c r="B988" s="23" t="str">
        <f>IF(ISBLANK(A988)," ",VLOOKUP(A988,'Product Database'!A:B,2,FALSE))</f>
        <v xml:space="preserve"> </v>
      </c>
      <c r="C988" s="24" t="str">
        <f>IF(ISBLANK(A988),"",SUMIF(Input!A:A,A988,Input!B:B))</f>
        <v/>
      </c>
      <c r="D988" s="25"/>
      <c r="E988" s="22" t="str">
        <f t="shared" si="3"/>
        <v xml:space="preserve"> </v>
      </c>
    </row>
    <row r="989" spans="1:5" ht="12.3">
      <c r="A989" s="26"/>
      <c r="B989" s="23" t="str">
        <f>IF(ISBLANK(A989)," ",VLOOKUP(A989,'Product Database'!A:B,2,FALSE))</f>
        <v xml:space="preserve"> </v>
      </c>
      <c r="C989" s="24" t="str">
        <f>IF(ISBLANK(A989),"",SUMIF(Input!A:A,A989,Input!B:B))</f>
        <v/>
      </c>
      <c r="D989" s="25"/>
      <c r="E989" s="22" t="str">
        <f t="shared" si="3"/>
        <v xml:space="preserve"> </v>
      </c>
    </row>
    <row r="990" spans="1:5" ht="12.3">
      <c r="A990" s="26"/>
      <c r="B990" s="23" t="str">
        <f>IF(ISBLANK(A990)," ",VLOOKUP(A990,'Product Database'!A:B,2,FALSE))</f>
        <v xml:space="preserve"> </v>
      </c>
      <c r="C990" s="24" t="str">
        <f>IF(ISBLANK(A990),"",SUMIF(Input!A:A,A990,Input!B:B))</f>
        <v/>
      </c>
      <c r="D990" s="25"/>
      <c r="E990" s="22" t="str">
        <f t="shared" si="3"/>
        <v xml:space="preserve"> </v>
      </c>
    </row>
    <row r="991" spans="1:5" ht="12.3">
      <c r="A991" s="26"/>
      <c r="B991" s="23" t="str">
        <f>IF(ISBLANK(A991)," ",VLOOKUP(A991,'Product Database'!A:B,2,FALSE))</f>
        <v xml:space="preserve"> </v>
      </c>
      <c r="C991" s="24" t="str">
        <f>IF(ISBLANK(A991),"",SUMIF(Input!A:A,A991,Input!B:B))</f>
        <v/>
      </c>
      <c r="D991" s="25"/>
      <c r="E991" s="22" t="str">
        <f t="shared" si="3"/>
        <v xml:space="preserve"> </v>
      </c>
    </row>
    <row r="992" spans="1:5" ht="12.3">
      <c r="A992" s="26"/>
      <c r="B992" s="23" t="str">
        <f>IF(ISBLANK(A992)," ",VLOOKUP(A992,'Product Database'!A:B,2,FALSE))</f>
        <v xml:space="preserve"> </v>
      </c>
      <c r="C992" s="24" t="str">
        <f>IF(ISBLANK(A992),"",SUMIF(Input!A:A,A992,Input!B:B))</f>
        <v/>
      </c>
      <c r="D992" s="25"/>
      <c r="E992" s="22" t="str">
        <f t="shared" si="3"/>
        <v xml:space="preserve"> </v>
      </c>
    </row>
    <row r="993" spans="1:5" ht="12.3">
      <c r="A993" s="26"/>
      <c r="B993" s="23" t="str">
        <f>IF(ISBLANK(A993)," ",VLOOKUP(A993,'Product Database'!A:B,2,FALSE))</f>
        <v xml:space="preserve"> </v>
      </c>
      <c r="C993" s="24" t="str">
        <f>IF(ISBLANK(A993),"",SUMIF(Input!A:A,A993,Input!B:B))</f>
        <v/>
      </c>
      <c r="D993" s="25"/>
      <c r="E993" s="22" t="str">
        <f t="shared" si="3"/>
        <v xml:space="preserve"> </v>
      </c>
    </row>
    <row r="994" spans="1:5" ht="12.3">
      <c r="A994" s="26"/>
      <c r="B994" s="23" t="str">
        <f>IF(ISBLANK(A994)," ",VLOOKUP(A994,'Product Database'!A:B,2,FALSE))</f>
        <v xml:space="preserve"> </v>
      </c>
      <c r="C994" s="24" t="str">
        <f>IF(ISBLANK(A994),"",SUMIF(Input!A:A,A994,Input!B:B))</f>
        <v/>
      </c>
      <c r="D994" s="25"/>
      <c r="E994" s="22" t="str">
        <f t="shared" si="3"/>
        <v xml:space="preserve"> </v>
      </c>
    </row>
    <row r="995" spans="1:5" ht="12.3">
      <c r="A995" s="26"/>
      <c r="B995" s="23" t="str">
        <f>IF(ISBLANK(A995)," ",VLOOKUP(A995,'Product Database'!A:B,2,FALSE))</f>
        <v xml:space="preserve"> </v>
      </c>
      <c r="C995" s="24" t="str">
        <f>IF(ISBLANK(A995),"",SUMIF(Input!A:A,A995,Input!B:B))</f>
        <v/>
      </c>
      <c r="D995" s="25"/>
      <c r="E995" s="22" t="str">
        <f t="shared" si="3"/>
        <v xml:space="preserve"> </v>
      </c>
    </row>
    <row r="996" spans="1:5" ht="12.3">
      <c r="A996" s="26"/>
      <c r="B996" s="23" t="str">
        <f>IF(ISBLANK(A996)," ",VLOOKUP(A996,'Product Database'!A:B,2,FALSE))</f>
        <v xml:space="preserve"> </v>
      </c>
      <c r="C996" s="24" t="str">
        <f>IF(ISBLANK(A996),"",SUMIF(Input!A:A,A996,Input!B:B))</f>
        <v/>
      </c>
      <c r="D996" s="25"/>
      <c r="E996" s="22" t="str">
        <f t="shared" si="3"/>
        <v xml:space="preserve"> </v>
      </c>
    </row>
    <row r="997" spans="1:5" ht="12.3">
      <c r="A997" s="26"/>
      <c r="B997" s="23" t="str">
        <f>IF(ISBLANK(A997)," ",VLOOKUP(A997,'Product Database'!A:B,2,FALSE))</f>
        <v xml:space="preserve"> </v>
      </c>
      <c r="C997" s="24" t="str">
        <f>IF(ISBLANK(A997),"",SUMIF(Input!A:A,A997,Input!B:B))</f>
        <v/>
      </c>
      <c r="D997" s="25"/>
      <c r="E997" s="22" t="str">
        <f t="shared" si="3"/>
        <v xml:space="preserve"> </v>
      </c>
    </row>
    <row r="998" spans="1:5" ht="12.3">
      <c r="A998" s="26"/>
      <c r="B998" s="23" t="str">
        <f>IF(ISBLANK(A998)," ",VLOOKUP(A998,'Product Database'!A:B,2,FALSE))</f>
        <v xml:space="preserve"> </v>
      </c>
      <c r="C998" s="24" t="str">
        <f>IF(ISBLANK(A998),"",SUMIF(Input!A:A,A998,Input!B:B))</f>
        <v/>
      </c>
      <c r="D998" s="25"/>
      <c r="E998" s="22" t="str">
        <f t="shared" si="3"/>
        <v xml:space="preserve"> </v>
      </c>
    </row>
    <row r="999" spans="1:5" ht="12.3">
      <c r="A999" s="26"/>
      <c r="B999" s="23" t="str">
        <f>IF(ISBLANK(A999)," ",VLOOKUP(A999,'Product Database'!A:B,2,FALSE))</f>
        <v xml:space="preserve"> </v>
      </c>
      <c r="C999" s="24" t="str">
        <f>IF(ISBLANK(A999),"",SUMIF(Input!A:A,A999,Input!B:B))</f>
        <v/>
      </c>
      <c r="D999" s="25"/>
      <c r="E999" s="22" t="str">
        <f t="shared" si="3"/>
        <v xml:space="preserve"> </v>
      </c>
    </row>
    <row r="1000" spans="1:5" ht="12.3">
      <c r="A1000" s="26"/>
      <c r="B1000" s="23" t="str">
        <f>IF(ISBLANK(A1000)," ",VLOOKUP(A1000,'Product Database'!A:B,2,FALSE))</f>
        <v xml:space="preserve"> </v>
      </c>
      <c r="C1000" s="24" t="str">
        <f>IF(ISBLANK(A1000),"",SUMIF(Input!A:A,A1000,Input!B:B))</f>
        <v/>
      </c>
      <c r="D1000" s="25"/>
      <c r="E1000" s="22" t="str">
        <f t="shared" si="3"/>
        <v xml:space="preserve"> </v>
      </c>
    </row>
  </sheetData>
  <mergeCells count="1">
    <mergeCell ref="A5:B5"/>
  </mergeCells>
  <printOptions horizontalCentered="1" gridLines="1"/>
  <pageMargins left="0.7" right="0.7" top="0.75" bottom="0.75" header="0" footer="0"/>
  <pageSetup paperSize="9" scale="81" fitToHeight="0" pageOrder="overThenDown" orientation="portrait" cellComments="atEnd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29CBF2B-688C-47D6-A5A7-1DEB0F5C7FE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ReadMe</vt:lpstr>
      <vt:lpstr>Product Database</vt:lpstr>
      <vt:lpstr>Input</vt:lpstr>
      <vt:lpstr>Summary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Nicholas Farandi Harjanto</dc:creator>
  <cp:lastModifiedBy>Nicholas Farandi Harjanto</cp:lastModifiedBy>
  <cp:lastPrinted>2024-08-26T18:54:46Z</cp:lastPrinted>
  <dcterms:created xsi:type="dcterms:W3CDTF">2024-08-26T19:02:41Z</dcterms:created>
  <dcterms:modified xsi:type="dcterms:W3CDTF">2024-09-23T15:17:28Z</dcterms:modified>
</cp:coreProperties>
</file>